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최종조건" sheetId="2" state="visible" r:id="rId4"/>
    <sheet name="Rounds" sheetId="3" state="visible" r:id="rId5"/>
    <sheet name="손잡이효과" sheetId="4" state="visible" r:id="rId6"/>
    <sheet name="MBL짝비교" sheetId="5" state="visible" r:id="rId7"/>
    <sheet name="조건별요약" sheetId="6" state="visible" r:id="rId8"/>
    <sheet name="Cal_cells" sheetId="7" state="visible" r:id="rId9"/>
    <sheet name="Best_round_points" sheetId="8" state="visible" r:id="rId10"/>
    <sheet name="Best_round_curves" sheetId="9" state="visible" r:id="rId11"/>
    <sheet name="Campaign_0905" sheetId="10" state="visible" r:id="rId12"/>
    <sheet name="Zero_0905" sheetId="11" state="visible" r:id="rId13"/>
  </sheets>
  <definedNames>
    <definedName function="false" hidden="true" localSheetId="8" name="_xlnm._FilterDatabase" vbProcedure="false">Best_round_curves!$A$3:$I$131</definedName>
    <definedName function="false" hidden="true" localSheetId="7" name="_xlnm._FilterDatabase" vbProcedure="false">Best_round_points!$A$3:$M$51</definedName>
    <definedName function="false" hidden="true" localSheetId="6" name="_xlnm._FilterDatabase" vbProcedure="false">Cal_cells!$A$1:$Q$553</definedName>
    <definedName function="false" hidden="true" localSheetId="2" name="_xlnm._FilterDatabase" vbProcedure="false">Rounds!$A$1:$AY$139</definedName>
    <definedName function="false" hidden="true" localSheetId="10" name="_xlnm._FilterDatabase" vbProcedure="false">Zero_0905!$A$20:$L$138</definedName>
    <definedName function="false" hidden="true" localSheetId="5" name="_xlnm._FilterDatabase" vbProcedure="false">조건별요약!$A$1:$T$60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<sst xmlns="http://schemas.openxmlformats.org/spreadsheetml/2006/main" count="3520" uniqueCount="1011">
  <si>
    <r>
      <rPr>
        <b val="true"/>
        <sz val="13"/>
        <rFont val="Arial"/>
        <family val="0"/>
        <charset val="1"/>
      </rPr>
      <t xml:space="preserve">FeFET 2×2 </t>
    </r>
    <r>
      <rPr>
        <b val="true"/>
        <sz val="13"/>
        <rFont val="Noto Sans CJK SC"/>
        <family val="2"/>
      </rPr>
      <t xml:space="preserve">어레이 — </t>
    </r>
    <r>
      <rPr>
        <b val="true"/>
        <sz val="13"/>
        <rFont val="Arial"/>
        <family val="0"/>
        <charset val="1"/>
      </rPr>
      <t xml:space="preserve">distance(1-D </t>
    </r>
    <r>
      <rPr>
        <b val="true"/>
        <sz val="13"/>
        <rFont val="Noto Sans CJK SC"/>
        <family val="2"/>
      </rPr>
      <t xml:space="preserve">교정 → </t>
    </r>
    <r>
      <rPr>
        <b val="true"/>
        <sz val="13"/>
        <rFont val="Arial"/>
        <family val="0"/>
        <charset val="1"/>
      </rPr>
      <t xml:space="preserve">2-D </t>
    </r>
    <r>
      <rPr>
        <b val="true"/>
        <sz val="13"/>
        <rFont val="Noto Sans CJK SC"/>
        <family val="2"/>
      </rPr>
      <t xml:space="preserve">질의 예측</t>
    </r>
    <r>
      <rPr>
        <b val="true"/>
        <sz val="13"/>
        <rFont val="Arial"/>
        <family val="0"/>
        <charset val="1"/>
      </rPr>
      <t xml:space="preserve">) </t>
    </r>
    <r>
      <rPr>
        <b val="true"/>
        <sz val="13"/>
        <rFont val="Noto Sans CJK SC"/>
        <family val="2"/>
      </rPr>
      <t xml:space="preserve">실험 정리</t>
    </r>
  </si>
  <si>
    <t xml:space="preserve">작성</t>
  </si>
  <si>
    <r>
      <rPr>
        <sz val="10"/>
        <rFont val="Arial"/>
        <family val="0"/>
        <charset val="1"/>
      </rPr>
      <t xml:space="preserve">2026-09-06 15:40, Claude (</t>
    </r>
    <r>
      <rPr>
        <sz val="10"/>
        <rFont val="Noto Sans CJK SC"/>
        <family val="2"/>
      </rPr>
      <t xml:space="preserve">실험</t>
    </r>
    <r>
      <rPr>
        <sz val="10"/>
        <rFont val="Arial"/>
        <family val="0"/>
        <charset val="1"/>
      </rPr>
      <t xml:space="preserve">: Aiden-Byun, chipX, FPGA COM4, TIA readout)</t>
    </r>
  </si>
  <si>
    <t xml:space="preserve">목적</t>
  </si>
  <si>
    <r>
      <rPr>
        <sz val="10"/>
        <rFont val="Noto Sans CJK SC"/>
        <family val="2"/>
      </rPr>
      <t xml:space="preserve">어레이에서 열별 </t>
    </r>
    <r>
      <rPr>
        <sz val="10"/>
        <rFont val="Arial"/>
        <family val="0"/>
        <charset val="1"/>
      </rPr>
      <t xml:space="preserve">1-D </t>
    </r>
    <r>
      <rPr>
        <sz val="10"/>
        <rFont val="Noto Sans CJK SC"/>
        <family val="2"/>
      </rPr>
      <t xml:space="preserve">교정</t>
    </r>
    <r>
      <rPr>
        <sz val="10"/>
        <rFont val="Arial"/>
        <family val="0"/>
        <charset val="1"/>
      </rPr>
      <t xml:space="preserve">(v0, κ, S)</t>
    </r>
    <r>
      <rPr>
        <sz val="10"/>
        <rFont val="Noto Sans CJK SC"/>
        <family val="2"/>
      </rPr>
      <t xml:space="preserve">만으로 두 열 동시 질의</t>
    </r>
    <r>
      <rPr>
        <sz val="10"/>
        <rFont val="Arial"/>
        <family val="0"/>
        <charset val="1"/>
      </rPr>
      <t xml:space="preserve">(2-D)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전류를 예측하는 거리함수의 정확도</t>
    </r>
    <r>
      <rPr>
        <sz val="10"/>
        <rFont val="Arial"/>
        <family val="0"/>
        <charset val="1"/>
      </rPr>
      <t xml:space="preserve">(row R²)</t>
    </r>
    <r>
      <rPr>
        <sz val="10"/>
        <rFont val="Noto Sans CJK SC"/>
        <family val="2"/>
      </rPr>
      <t xml:space="preserve">를 읽기 조건으로 최대화</t>
    </r>
  </si>
  <si>
    <t xml:space="preserve">배선</t>
  </si>
  <si>
    <r>
      <rPr>
        <sz val="10"/>
        <rFont val="Arial"/>
        <family val="0"/>
        <charset val="1"/>
      </rPr>
      <t xml:space="preserve">cell(r,c) = FeFET A(gate SL_Ac) + FeFET B(gate SL_Bc) </t>
    </r>
    <r>
      <rPr>
        <sz val="10"/>
        <rFont val="Noto Sans CJK SC"/>
        <family val="2"/>
      </rPr>
      <t xml:space="preserve">상보 쌍</t>
    </r>
    <r>
      <rPr>
        <sz val="10"/>
        <rFont val="Arial"/>
        <family val="0"/>
        <charset val="1"/>
      </rPr>
      <t xml:space="preserve">. col0: DAC11/12, col1: DAC13/14. row r: ML_Fr → RBL/TIA12,13 ; MBL_Fr → DAC20,30 (INH floating </t>
    </r>
    <r>
      <rPr>
        <sz val="10"/>
        <rFont val="Noto Sans CJK SC"/>
        <family val="2"/>
      </rPr>
      <t xml:space="preserve">가능</t>
    </r>
    <r>
      <rPr>
        <sz val="10"/>
        <rFont val="Arial"/>
        <family val="0"/>
        <charset val="1"/>
      </rPr>
      <t xml:space="preserve">)</t>
    </r>
  </si>
  <si>
    <t xml:space="preserve">읽기 방식</t>
  </si>
  <si>
    <r>
      <rPr>
        <sz val="10"/>
        <rFont val="Arial"/>
        <family val="0"/>
        <charset val="1"/>
      </rPr>
      <t xml:space="preserve">TIA. MBL(=READ_V) </t>
    </r>
    <r>
      <rPr>
        <sz val="10"/>
        <rFont val="Noto Sans CJK SC"/>
        <family val="2"/>
      </rPr>
      <t xml:space="preserve">바이어스 →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합 전류가 </t>
    </r>
    <r>
      <rPr>
        <sz val="10"/>
        <rFont val="Arial"/>
        <family val="0"/>
        <charset val="1"/>
      </rPr>
      <t xml:space="preserve">ADC code </t>
    </r>
    <r>
      <rPr>
        <sz val="10"/>
        <rFont val="Noto Sans CJK SC"/>
        <family val="2"/>
      </rPr>
      <t xml:space="preserve">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게이트</t>
    </r>
    <r>
      <rPr>
        <sz val="10"/>
        <rFont val="Arial"/>
        <family val="0"/>
        <charset val="1"/>
      </rPr>
      <t xml:space="preserve">: SL_A = C + x, SL_B = C − x (</t>
    </r>
    <r>
      <rPr>
        <sz val="10"/>
        <rFont val="Noto Sans CJK SC"/>
        <family val="2"/>
      </rPr>
      <t xml:space="preserve">상보 스윕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저장값 </t>
    </r>
    <r>
      <rPr>
        <sz val="10"/>
        <rFont val="Arial"/>
        <family val="0"/>
        <charset val="1"/>
      </rPr>
      <t xml:space="preserve">v0 </t>
    </r>
    <r>
      <rPr>
        <sz val="10"/>
        <rFont val="Noto Sans CJK SC"/>
        <family val="2"/>
      </rPr>
      <t xml:space="preserve">에서 전류 최소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노치</t>
    </r>
    <r>
      <rPr>
        <sz val="10"/>
        <rFont val="Arial"/>
        <family val="0"/>
        <charset val="1"/>
      </rPr>
      <t xml:space="preserve">).</t>
    </r>
  </si>
  <si>
    <t xml:space="preserve">모델</t>
  </si>
  <si>
    <r>
      <rPr>
        <sz val="10"/>
        <rFont val="Arial"/>
        <family val="0"/>
        <charset val="1"/>
      </rPr>
      <t xml:space="preserve">I_r(x) = S_r + Σ_c κ_rc (x_c − v0_rc)²  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, |x−v0| ≤ fit </t>
    </r>
    <r>
      <rPr>
        <sz val="10"/>
        <rFont val="Noto Sans CJK SC"/>
        <family val="2"/>
      </rPr>
      <t xml:space="preserve">창</t>
    </r>
    <r>
      <rPr>
        <sz val="10"/>
        <rFont val="Arial"/>
        <family val="0"/>
        <charset val="1"/>
      </rPr>
      <t xml:space="preserve">).  </t>
    </r>
    <r>
      <rPr>
        <sz val="10"/>
        <rFont val="Noto Sans CJK SC"/>
        <family val="2"/>
      </rPr>
      <t xml:space="preserve">교정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열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만 스윕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다른 열 </t>
    </r>
    <r>
      <rPr>
        <sz val="10"/>
        <rFont val="Arial"/>
        <family val="0"/>
        <charset val="1"/>
      </rPr>
      <t xml:space="preserve">x=0) → v0, κ, m ; S_r </t>
    </r>
    <r>
      <rPr>
        <sz val="10"/>
        <rFont val="Noto Sans CJK SC"/>
        <family val="2"/>
      </rPr>
      <t xml:space="preserve">은 두 스윕에서 과결정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차이 </t>
    </r>
    <r>
      <rPr>
        <sz val="10"/>
        <rFont val="Arial"/>
        <family val="0"/>
        <charset val="1"/>
      </rPr>
      <t xml:space="preserve">= S_check).</t>
    </r>
  </si>
  <si>
    <t xml:space="preserve">지표</t>
  </si>
  <si>
    <r>
      <rPr>
        <sz val="10"/>
        <rFont val="Arial"/>
        <family val="0"/>
        <charset val="1"/>
      </rPr>
      <t xml:space="preserve">row R² = 1 − RMSE²/var(</t>
    </r>
    <r>
      <rPr>
        <sz val="10"/>
        <rFont val="Noto Sans CJK SC"/>
        <family val="2"/>
      </rPr>
      <t xml:space="preserve">측정</t>
    </r>
    <r>
      <rPr>
        <sz val="10"/>
        <rFont val="Arial"/>
        <family val="0"/>
        <charset val="1"/>
      </rPr>
      <t xml:space="preserve">)  (row </t>
    </r>
    <r>
      <rPr>
        <sz val="10"/>
        <rFont val="Noto Sans CJK SC"/>
        <family val="2"/>
      </rPr>
      <t xml:space="preserve">별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질의</t>
    </r>
    <r>
      <rPr>
        <sz val="10"/>
        <rFont val="Arial"/>
        <family val="0"/>
        <charset val="1"/>
      </rPr>
      <t xml:space="preserve">).  score = </t>
    </r>
    <r>
      <rPr>
        <sz val="10"/>
        <rFont val="Noto Sans CJK SC"/>
        <family val="2"/>
      </rPr>
      <t xml:space="preserve">두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차 예측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곡선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중첩 예측 중 큰 쪽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실제로는 전부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).  SNR = </t>
    </r>
    <r>
      <rPr>
        <sz val="10"/>
        <rFont val="Noto Sans CJK SC"/>
        <family val="2"/>
      </rPr>
      <t xml:space="preserve">질의 간 예측 </t>
    </r>
    <r>
      <rPr>
        <sz val="10"/>
        <rFont val="Arial"/>
        <family val="0"/>
        <charset val="1"/>
      </rPr>
      <t xml:space="preserve">excess σ / 2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RMSE.  noise = </t>
    </r>
    <r>
      <rPr>
        <sz val="10"/>
        <rFont val="Noto Sans CJK SC"/>
        <family val="2"/>
      </rPr>
      <t xml:space="preserve">질의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샘플 표준편차 평균 </t>
    </r>
    <r>
      <rPr>
        <sz val="10"/>
        <rFont val="Arial"/>
        <family val="0"/>
        <charset val="1"/>
      </rPr>
      <t xml:space="preserve">[code].  headroom = TIA </t>
    </r>
    <r>
      <rPr>
        <sz val="10"/>
        <rFont val="Noto Sans CJK SC"/>
        <family val="2"/>
      </rPr>
      <t xml:space="preserve">클립</t>
    </r>
    <r>
      <rPr>
        <sz val="10"/>
        <rFont val="Arial"/>
        <family val="0"/>
        <charset val="1"/>
      </rPr>
      <t xml:space="preserve">(2880) − </t>
    </r>
    <r>
      <rPr>
        <sz val="10"/>
        <rFont val="Noto Sans CJK SC"/>
        <family val="2"/>
      </rPr>
      <t xml:space="preserve">스윕 최대 </t>
    </r>
    <r>
      <rPr>
        <sz val="10"/>
        <rFont val="Arial"/>
        <family val="0"/>
        <charset val="1"/>
      </rPr>
      <t xml:space="preserve">code.  depth = </t>
    </r>
    <r>
      <rPr>
        <sz val="10"/>
        <rFont val="Noto Sans CJK SC"/>
        <family val="2"/>
      </rPr>
      <t xml:space="preserve">노치 깊이</t>
    </r>
    <r>
      <rPr>
        <sz val="10"/>
        <rFont val="Arial"/>
        <family val="0"/>
        <charset val="1"/>
      </rPr>
      <t xml:space="preserve">.</t>
    </r>
  </si>
  <si>
    <t xml:space="preserve">손잡이</t>
  </si>
  <si>
    <r>
      <rPr>
        <sz val="10"/>
        <rFont val="Arial"/>
        <family val="0"/>
        <charset val="1"/>
      </rPr>
      <t xml:space="preserve">span: </t>
    </r>
    <r>
      <rPr>
        <sz val="10"/>
        <rFont val="Noto Sans CJK SC"/>
        <family val="2"/>
      </rPr>
      <t xml:space="preserve">질의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범위 </t>
    </r>
    <r>
      <rPr>
        <sz val="10"/>
        <rFont val="Arial"/>
        <family val="0"/>
        <charset val="1"/>
      </rPr>
      <t xml:space="preserve">±[V] · mbl: READ_V [V] · center_d: C(−0.93) </t>
    </r>
    <r>
      <rPr>
        <sz val="10"/>
        <rFont val="Noto Sans CJK SC"/>
        <family val="2"/>
      </rPr>
      <t xml:space="preserve">오프셋 </t>
    </r>
    <r>
      <rPr>
        <sz val="10"/>
        <rFont val="Arial"/>
        <family val="0"/>
        <charset val="1"/>
      </rPr>
      <t xml:space="preserve">· sweep_half: </t>
    </r>
    <r>
      <rPr>
        <sz val="10"/>
        <rFont val="Noto Sans CJK SC"/>
        <family val="2"/>
      </rPr>
      <t xml:space="preserve">교정 스윕 창 </t>
    </r>
    <r>
      <rPr>
        <sz val="10"/>
        <rFont val="Arial"/>
        <family val="0"/>
        <charset val="1"/>
      </rPr>
      <t xml:space="preserve">±[V] · fit_half: 2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fit </t>
    </r>
    <r>
      <rPr>
        <sz val="10"/>
        <rFont val="Noto Sans CJK SC"/>
        <family val="2"/>
      </rPr>
      <t xml:space="preserve">창 </t>
    </r>
    <r>
      <rPr>
        <sz val="10"/>
        <rFont val="Arial"/>
        <family val="0"/>
        <charset val="1"/>
      </rPr>
      <t xml:space="preserve">±[V] · samples: </t>
    </r>
    <r>
      <rPr>
        <sz val="10"/>
        <rFont val="Noto Sans CJK SC"/>
        <family val="2"/>
      </rPr>
      <t xml:space="preserve">질의당 </t>
    </r>
    <r>
      <rPr>
        <sz val="10"/>
        <rFont val="Arial"/>
        <family val="0"/>
        <charset val="1"/>
      </rPr>
      <t xml:space="preserve">ADC </t>
    </r>
    <r>
      <rPr>
        <sz val="10"/>
        <rFont val="Noto Sans CJK SC"/>
        <family val="2"/>
      </rPr>
      <t xml:space="preserve">샘플 수</t>
    </r>
  </si>
  <si>
    <t xml:space="preserve">실험 흐름</t>
  </si>
  <si>
    <r>
      <rPr>
        <sz val="10"/>
        <rFont val="Arial"/>
        <family val="0"/>
        <charset val="1"/>
      </rPr>
      <t xml:space="preserve">0905 13:31 </t>
    </r>
    <r>
      <rPr>
        <sz val="10"/>
        <rFont val="Noto Sans CJK SC"/>
        <family val="2"/>
      </rPr>
      <t xml:space="preserve">영점</t>
    </r>
    <r>
      <rPr>
        <sz val="10"/>
        <rFont val="Arial"/>
        <family val="0"/>
        <charset val="1"/>
      </rPr>
      <t xml:space="preserve">(arrauto) → 0905 15:00 </t>
    </r>
    <r>
      <rPr>
        <sz val="10"/>
        <rFont val="Noto Sans CJK SC"/>
        <family val="2"/>
      </rPr>
      <t xml:space="preserve">캠페인 </t>
    </r>
    <r>
      <rPr>
        <sz val="10"/>
        <rFont val="Arial"/>
        <family val="0"/>
        <charset val="1"/>
      </rPr>
      <t xml:space="preserve">v1 (span 0.2~0.5) → 0905 16:45 </t>
    </r>
    <r>
      <rPr>
        <sz val="10"/>
        <rFont val="Noto Sans CJK SC"/>
        <family val="2"/>
      </rPr>
      <t xml:space="preserve">캠페인 </t>
    </r>
    <r>
      <rPr>
        <sz val="10"/>
        <rFont val="Arial"/>
        <family val="0"/>
        <charset val="1"/>
      </rPr>
      <t xml:space="preserve">v2 (span 0.3~0.6, </t>
    </r>
    <r>
      <rPr>
        <sz val="10"/>
        <rFont val="Noto Sans CJK SC"/>
        <family val="2"/>
      </rPr>
      <t xml:space="preserve">기준 재측정</t>
    </r>
    <r>
      <rPr>
        <sz val="10"/>
        <rFont val="Arial"/>
        <family val="0"/>
        <charset val="1"/>
      </rPr>
      <t xml:space="preserve">) → 0906 09:59~15:29 </t>
    </r>
    <r>
      <rPr>
        <sz val="10"/>
        <rFont val="Noto Sans CJK SC"/>
        <family val="2"/>
      </rPr>
      <t xml:space="preserve">최적화 </t>
    </r>
    <r>
      <rPr>
        <sz val="10"/>
        <rFont val="Arial"/>
        <family val="0"/>
        <charset val="1"/>
      </rPr>
      <t xml:space="preserve">138 </t>
    </r>
    <r>
      <rPr>
        <sz val="10"/>
        <rFont val="Noto Sans CJK SC"/>
        <family val="2"/>
      </rPr>
      <t xml:space="preserve">라운드 </t>
    </r>
    <r>
      <rPr>
        <sz val="10"/>
        <rFont val="Arial"/>
        <family val="0"/>
        <charset val="1"/>
      </rPr>
      <t xml:space="preserve">(fefet_array_night, </t>
    </r>
    <r>
      <rPr>
        <sz val="10"/>
        <rFont val="Noto Sans CJK SC"/>
        <family val="2"/>
      </rPr>
      <t xml:space="preserve">읽기 전용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쓰기 펄스 없음</t>
    </r>
    <r>
      <rPr>
        <sz val="10"/>
        <rFont val="Arial"/>
        <family val="0"/>
        <charset val="1"/>
      </rPr>
      <t xml:space="preserve">)</t>
    </r>
  </si>
  <si>
    <t xml:space="preserve">최종 권장</t>
  </si>
  <si>
    <r>
      <rPr>
        <sz val="10"/>
        <rFont val="Arial"/>
        <family val="0"/>
        <charset val="1"/>
      </rPr>
      <t xml:space="preserve">READ_V −1.75 V, C −0.93 V, span ±0.7 V, </t>
    </r>
    <r>
      <rPr>
        <sz val="10"/>
        <rFont val="Noto Sans CJK SC"/>
        <family val="2"/>
      </rPr>
      <t xml:space="preserve">스윕 창 </t>
    </r>
    <r>
      <rPr>
        <sz val="10"/>
        <rFont val="Arial"/>
        <family val="0"/>
        <charset val="1"/>
      </rPr>
      <t xml:space="preserve">±0.7 V, 2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fit </t>
    </r>
    <r>
      <rPr>
        <sz val="10"/>
        <rFont val="Noto Sans CJK SC"/>
        <family val="2"/>
      </rPr>
      <t xml:space="preserve">창 </t>
    </r>
    <r>
      <rPr>
        <sz val="10"/>
        <rFont val="Arial"/>
        <family val="0"/>
        <charset val="1"/>
      </rPr>
      <t xml:space="preserve">±0.6 V, samples 3  →  row R² 0.985 (0.98~0.99), RMSE ≈ 5.4 code ≈ noise, SNR ≈ 8.5, κ ≈ 226 code/V², headroom ≈ 1260</t>
    </r>
  </si>
  <si>
    <t xml:space="preserve">한계</t>
  </si>
  <si>
    <r>
      <rPr>
        <sz val="10"/>
        <rFont val="Arial"/>
        <family val="0"/>
        <charset val="1"/>
      </rPr>
      <t xml:space="preserve">R² </t>
    </r>
    <r>
      <rPr>
        <sz val="10"/>
        <rFont val="Noto Sans CJK SC"/>
        <family val="2"/>
      </rPr>
      <t xml:space="preserve">향상은 전부 신호 분산 증가</t>
    </r>
    <r>
      <rPr>
        <sz val="10"/>
        <rFont val="Arial"/>
        <family val="0"/>
        <charset val="1"/>
      </rPr>
      <t xml:space="preserve">(span, |MBL|)</t>
    </r>
    <r>
      <rPr>
        <sz val="10"/>
        <rFont val="Noto Sans CJK SC"/>
        <family val="2"/>
      </rPr>
      <t xml:space="preserve">에서 옴 — 잔차는 처음부터 </t>
    </r>
    <r>
      <rPr>
        <sz val="10"/>
        <rFont val="Arial"/>
        <family val="0"/>
        <charset val="1"/>
      </rPr>
      <t xml:space="preserve">readout </t>
    </r>
    <r>
      <rPr>
        <sz val="10"/>
        <rFont val="Noto Sans CJK SC"/>
        <family val="2"/>
      </rPr>
      <t xml:space="preserve">노이즈 수준</t>
    </r>
    <r>
      <rPr>
        <sz val="10"/>
        <rFont val="Arial"/>
        <family val="0"/>
        <charset val="1"/>
      </rPr>
      <t xml:space="preserve">(5~7 code). </t>
    </r>
    <r>
      <rPr>
        <sz val="10"/>
        <rFont val="Noto Sans CJK SC"/>
        <family val="2"/>
      </rPr>
      <t xml:space="preserve">분해능</t>
    </r>
    <r>
      <rPr>
        <sz val="10"/>
        <rFont val="Arial"/>
        <family val="0"/>
        <charset val="1"/>
      </rPr>
      <t xml:space="preserve">: span 0.7 </t>
    </r>
    <r>
      <rPr>
        <sz val="10"/>
        <rFont val="Noto Sans CJK SC"/>
        <family val="2"/>
      </rPr>
      <t xml:space="preserve">에서 초과전류 </t>
    </r>
    <r>
      <rPr>
        <sz val="10"/>
        <rFont val="Arial"/>
        <family val="0"/>
        <charset val="1"/>
      </rPr>
      <t xml:space="preserve">~110 code / σ 5~7 → 2σ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8~10 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노치 근처는 기울기 </t>
    </r>
    <r>
      <rPr>
        <sz val="10"/>
        <rFont val="Arial"/>
        <family val="0"/>
        <charset val="1"/>
      </rPr>
      <t xml:space="preserve">0.  samples 1 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0.948 </t>
    </r>
    <r>
      <rPr>
        <sz val="10"/>
        <rFont val="Noto Sans CJK SC"/>
        <family val="2"/>
      </rPr>
      <t xml:space="preserve">로 부족</t>
    </r>
    <r>
      <rPr>
        <sz val="10"/>
        <rFont val="Arial"/>
        <family val="0"/>
        <charset val="1"/>
      </rPr>
      <t xml:space="preserve">, 6 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0.985 (n=2).  </t>
    </r>
    <r>
      <rPr>
        <sz val="10"/>
        <rFont val="Noto Sans CJK SC"/>
        <family val="2"/>
      </rPr>
      <t xml:space="preserve">두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가 같은 벡터를 저장한 상태 — </t>
    </r>
    <r>
      <rPr>
        <sz val="10"/>
        <rFont val="Arial"/>
        <family val="0"/>
        <charset val="1"/>
      </rPr>
      <t xml:space="preserve">argmin </t>
    </r>
    <r>
      <rPr>
        <sz val="10"/>
        <rFont val="Noto Sans CJK SC"/>
        <family val="2"/>
      </rPr>
      <t xml:space="preserve">판별 지표</t>
    </r>
    <r>
      <rPr>
        <sz val="10"/>
        <rFont val="Arial"/>
        <family val="0"/>
        <charset val="1"/>
      </rPr>
      <t xml:space="preserve">(acc)</t>
    </r>
    <r>
      <rPr>
        <sz val="10"/>
        <rFont val="Noto Sans CJK SC"/>
        <family val="2"/>
      </rPr>
      <t xml:space="preserve">는 무의미</t>
    </r>
    <r>
      <rPr>
        <sz val="10"/>
        <rFont val="Arial"/>
        <family val="0"/>
        <charset val="1"/>
      </rPr>
      <t xml:space="preserve">.</t>
    </r>
  </si>
  <si>
    <t xml:space="preserve">시트 안내</t>
  </si>
  <si>
    <r>
      <rPr>
        <sz val="10"/>
        <rFont val="Noto Sans CJK SC"/>
        <family val="2"/>
      </rPr>
      <t xml:space="preserve">최종조건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손잡이효과 </t>
    </r>
    <r>
      <rPr>
        <sz val="10"/>
        <rFont val="Arial"/>
        <family val="0"/>
        <charset val="1"/>
      </rPr>
      <t xml:space="preserve">· MBL</t>
    </r>
    <r>
      <rPr>
        <sz val="10"/>
        <rFont val="Noto Sans CJK SC"/>
        <family val="2"/>
      </rPr>
      <t xml:space="preserve">짝비교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조건별요약 </t>
    </r>
    <r>
      <rPr>
        <sz val="10"/>
        <rFont val="Arial"/>
        <family val="0"/>
        <charset val="1"/>
      </rPr>
      <t xml:space="preserve">· Rounds(</t>
    </r>
    <r>
      <rPr>
        <sz val="10"/>
        <rFont val="Noto Sans CJK SC"/>
        <family val="2"/>
      </rPr>
      <t xml:space="preserve">전 라운드 원자료</t>
    </r>
    <r>
      <rPr>
        <sz val="10"/>
        <rFont val="Arial"/>
        <family val="0"/>
        <charset val="1"/>
      </rPr>
      <t xml:space="preserve">) · Cal_cells(</t>
    </r>
    <r>
      <rPr>
        <sz val="10"/>
        <rFont val="Noto Sans CJK SC"/>
        <family val="2"/>
      </rPr>
      <t xml:space="preserve">라운드별 셀 교정값</t>
    </r>
    <r>
      <rPr>
        <sz val="10"/>
        <rFont val="Arial"/>
        <family val="0"/>
        <charset val="1"/>
      </rPr>
      <t xml:space="preserve">) · Best_round_points(</t>
    </r>
    <r>
      <rPr>
        <sz val="10"/>
        <rFont val="Noto Sans CJK SC"/>
        <family val="2"/>
      </rPr>
      <t xml:space="preserve">최고 라운드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질의 측정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예측</t>
    </r>
    <r>
      <rPr>
        <sz val="10"/>
        <rFont val="Arial"/>
        <family val="0"/>
        <charset val="1"/>
      </rPr>
      <t xml:space="preserve">) · Best_round_curves(</t>
    </r>
    <r>
      <rPr>
        <sz val="10"/>
        <rFont val="Noto Sans CJK SC"/>
        <family val="2"/>
      </rPr>
      <t xml:space="preserve">최고 라운드 </t>
    </r>
    <r>
      <rPr>
        <sz val="10"/>
        <rFont val="Arial"/>
        <family val="0"/>
        <charset val="1"/>
      </rPr>
      <t xml:space="preserve">1-D </t>
    </r>
    <r>
      <rPr>
        <sz val="10"/>
        <rFont val="Noto Sans CJK SC"/>
        <family val="2"/>
      </rPr>
      <t xml:space="preserve">교정 곡선</t>
    </r>
    <r>
      <rPr>
        <sz val="10"/>
        <rFont val="Arial"/>
        <family val="0"/>
        <charset val="1"/>
      </rPr>
      <t xml:space="preserve">) · Campaign_0905(</t>
    </r>
    <r>
      <rPr>
        <sz val="10"/>
        <rFont val="Noto Sans CJK SC"/>
        <family val="2"/>
      </rPr>
      <t xml:space="preserve">전날 캠페인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스캔</t>
    </r>
    <r>
      <rPr>
        <sz val="10"/>
        <rFont val="Arial"/>
        <family val="0"/>
        <charset val="1"/>
      </rPr>
      <t xml:space="preserve">·run) · Zero_0905(</t>
    </r>
    <r>
      <rPr>
        <sz val="10"/>
        <rFont val="Noto Sans CJK SC"/>
        <family val="2"/>
      </rPr>
      <t xml:space="preserve">영점 결과</t>
    </r>
    <r>
      <rPr>
        <sz val="10"/>
        <rFont val="Arial"/>
        <family val="0"/>
        <charset val="1"/>
      </rPr>
      <t xml:space="preserve">)</t>
    </r>
  </si>
  <si>
    <t xml:space="preserve">원본 파일</t>
  </si>
  <si>
    <t xml:space="preserve">meas_result/arrnight_rounds_chipX_arrnight_0906_095932.csv, arrnight_points_*, arrnight_cal_*, arrnight_curves_*, arrnight_opt_*.json, arrdist_status_chipX_arrdist_0905_145957/164533.json, arrauto_status_chipX_arrauto_0905_133125.json</t>
  </si>
  <si>
    <t xml:space="preserve">스크립트</t>
  </si>
  <si>
    <r>
      <rPr>
        <sz val="10"/>
        <rFont val="Arial"/>
        <family val="0"/>
        <charset val="1"/>
      </rPr>
      <t xml:space="preserve">fefet_array.py (</t>
    </r>
    <r>
      <rPr>
        <sz val="10"/>
        <rFont val="Noto Sans CJK SC"/>
        <family val="2"/>
      </rPr>
      <t xml:space="preserve">기반</t>
    </r>
    <r>
      <rPr>
        <sz val="10"/>
        <rFont val="Arial"/>
        <family val="0"/>
        <charset val="1"/>
      </rPr>
      <t xml:space="preserve">) · fefet_array_zero.py (</t>
    </r>
    <r>
      <rPr>
        <sz val="10"/>
        <rFont val="Noto Sans CJK SC"/>
        <family val="2"/>
      </rPr>
      <t xml:space="preserve">영점</t>
    </r>
    <r>
      <rPr>
        <sz val="10"/>
        <rFont val="Arial"/>
        <family val="0"/>
        <charset val="1"/>
      </rPr>
      <t xml:space="preserve">) · fefet_array_distance.py (distance, v3 = </t>
    </r>
    <r>
      <rPr>
        <sz val="10"/>
        <rFont val="Noto Sans CJK SC"/>
        <family val="2"/>
      </rPr>
      <t xml:space="preserve">최종 조건 기본값</t>
    </r>
    <r>
      <rPr>
        <sz val="10"/>
        <rFont val="Arial"/>
        <family val="0"/>
        <charset val="1"/>
      </rPr>
      <t xml:space="preserve">) · fefet_array_night.py (</t>
    </r>
    <r>
      <rPr>
        <sz val="10"/>
        <rFont val="Noto Sans CJK SC"/>
        <family val="2"/>
      </rPr>
      <t xml:space="preserve">조건 최적화</t>
    </r>
    <r>
      <rPr>
        <sz val="10"/>
        <rFont val="Arial"/>
        <family val="0"/>
        <charset val="1"/>
      </rPr>
      <t xml:space="preserve">, ctrl json </t>
    </r>
    <r>
      <rPr>
        <sz val="10"/>
        <rFont val="Noto Sans CJK SC"/>
        <family val="2"/>
      </rPr>
      <t xml:space="preserve">으로 조종</t>
    </r>
    <r>
      <rPr>
        <sz val="10"/>
        <rFont val="Arial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</si>
  <si>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최종 권장 읽기 조건 </t>
    </r>
    <r>
      <rPr>
        <b val="true"/>
        <sz val="13"/>
        <rFont val="Arial"/>
        <family val="0"/>
        <charset val="1"/>
      </rPr>
      <t xml:space="preserve">(0906 </t>
    </r>
    <r>
      <rPr>
        <b val="true"/>
        <sz val="13"/>
        <rFont val="Noto Sans CJK SC"/>
        <family val="2"/>
      </rPr>
      <t xml:space="preserve">최적화</t>
    </r>
    <r>
      <rPr>
        <b val="true"/>
        <sz val="13"/>
        <rFont val="Arial"/>
        <family val="0"/>
        <charset val="1"/>
      </rPr>
      <t xml:space="preserve">)</t>
    </r>
  </si>
  <si>
    <t xml:space="preserve">항목</t>
  </si>
  <si>
    <t xml:space="preserve">값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</si>
  <si>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손잡이효과 </t>
    </r>
    <r>
      <rPr>
        <b val="true"/>
        <sz val="10"/>
        <color rgb="FFFFFFFF"/>
        <rFont val="Arial"/>
        <family val="0"/>
        <charset val="1"/>
      </rPr>
      <t xml:space="preserve">/ MBL</t>
    </r>
    <r>
      <rPr>
        <b val="true"/>
        <sz val="10"/>
        <color rgb="FFFFFFFF"/>
        <rFont val="Noto Sans CJK SC"/>
        <family val="2"/>
      </rPr>
      <t xml:space="preserve">짝비교 시트 참조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</si>
  <si>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READ_V (MBL) [V]</t>
  </si>
  <si>
    <r>
      <rPr>
        <sz val="10"/>
        <rFont val="Noto Sans CJK SC"/>
        <family val="2"/>
      </rPr>
      <t xml:space="preserve">짝 비교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블록 중앙값</t>
    </r>
    <r>
      <rPr>
        <sz val="10"/>
        <rFont val="Arial"/>
        <family val="0"/>
        <charset val="1"/>
      </rPr>
      <t xml:space="preserve">: −1.25 0.980 / −1.5 0.983 / −1.75 0.986 / −2.0 0.974. κ ∝ Vds (186→226 code/V²). −2.0 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noise 10~11 </t>
    </r>
    <r>
      <rPr>
        <sz val="10"/>
        <rFont val="Noto Sans CJK SC"/>
        <family val="2"/>
      </rPr>
      <t xml:space="preserve">로 상승</t>
    </r>
    <r>
      <rPr>
        <sz val="10"/>
        <rFont val="Arial"/>
        <family val="0"/>
        <charset val="1"/>
      </rPr>
      <t xml:space="preserve">, headroom 670. </t>
    </r>
    <r>
      <rPr>
        <sz val="10"/>
        <rFont val="Noto Sans CJK SC"/>
        <family val="2"/>
      </rPr>
      <t xml:space="preserve">스트레스 우려 시 −</t>
    </r>
    <r>
      <rPr>
        <sz val="10"/>
        <rFont val="Arial"/>
        <family val="0"/>
        <charset val="1"/>
      </rPr>
      <t xml:space="preserve">1.5 (−0.003).</t>
    </r>
  </si>
  <si>
    <r>
      <rPr>
        <b val="true"/>
        <sz val="10"/>
        <rFont val="Noto Sans CJK SC"/>
        <family val="2"/>
      </rPr>
      <t xml:space="preserve">게이트 중심 </t>
    </r>
    <r>
      <rPr>
        <b val="true"/>
        <sz val="10"/>
        <rFont val="Arial"/>
        <family val="0"/>
        <charset val="1"/>
      </rPr>
      <t xml:space="preserve">C [V]</t>
    </r>
  </si>
  <si>
    <r>
      <rPr>
        <sz val="10"/>
        <rFont val="Arial"/>
        <family val="0"/>
        <charset val="1"/>
      </rPr>
      <t xml:space="preserve">Vth_mean(−1.43) + 0.5. ±0.1 </t>
    </r>
    <r>
      <rPr>
        <sz val="10"/>
        <rFont val="Noto Sans CJK SC"/>
        <family val="2"/>
      </rPr>
      <t xml:space="preserve">오프셋 모두 손해 </t>
    </r>
    <r>
      <rPr>
        <sz val="10"/>
        <rFont val="Arial"/>
        <family val="0"/>
        <charset val="1"/>
      </rPr>
      <t xml:space="preserve">(0.912 / 0.942 vs 0.975).</t>
    </r>
  </si>
  <si>
    <r>
      <rPr>
        <b val="true"/>
        <sz val="10"/>
        <rFont val="Noto Sans CJK SC"/>
        <family val="2"/>
      </rPr>
      <t xml:space="preserve">질의 </t>
    </r>
    <r>
      <rPr>
        <b val="true"/>
        <sz val="10"/>
        <rFont val="Arial"/>
        <family val="0"/>
        <charset val="1"/>
      </rPr>
      <t xml:space="preserve">span ±[V]</t>
    </r>
  </si>
  <si>
    <r>
      <rPr>
        <sz val="10"/>
        <rFont val="Arial"/>
        <family val="0"/>
        <charset val="1"/>
      </rPr>
      <t xml:space="preserve">R² 0.84(0.4) 0.88(0.5) 0.95(0.6) 0.977(0.7) 0.979(0.75). 0.75 </t>
    </r>
    <r>
      <rPr>
        <sz val="10"/>
        <rFont val="Noto Sans CJK SC"/>
        <family val="2"/>
      </rPr>
      <t xml:space="preserve">는 이득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스윕 창 ≥ </t>
    </r>
    <r>
      <rPr>
        <sz val="10"/>
        <rFont val="Arial"/>
        <family val="0"/>
        <charset val="1"/>
      </rPr>
      <t xml:space="preserve">span </t>
    </r>
    <r>
      <rPr>
        <sz val="10"/>
        <rFont val="Noto Sans CJK SC"/>
        <family val="2"/>
      </rPr>
      <t xml:space="preserve">필수 </t>
    </r>
    <r>
      <rPr>
        <sz val="10"/>
        <rFont val="Arial"/>
        <family val="0"/>
        <charset val="1"/>
      </rPr>
      <t xml:space="preserve">(0.75 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0.7 </t>
    </r>
    <r>
      <rPr>
        <sz val="10"/>
        <rFont val="Noto Sans CJK SC"/>
        <family val="2"/>
      </rPr>
      <t xml:space="preserve">창으로 재면 </t>
    </r>
    <r>
      <rPr>
        <sz val="10"/>
        <rFont val="Arial"/>
        <family val="0"/>
        <charset val="1"/>
      </rPr>
      <t xml:space="preserve">0.84 </t>
    </r>
    <r>
      <rPr>
        <sz val="10"/>
        <rFont val="Noto Sans CJK SC"/>
        <family val="2"/>
      </rPr>
      <t xml:space="preserve">로 붕괴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</si>
  <si>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교정 스윕 창 </t>
    </r>
    <r>
      <rPr>
        <b val="true"/>
        <sz val="10"/>
        <rFont val="Arial"/>
        <family val="0"/>
        <charset val="1"/>
      </rPr>
      <t xml:space="preserve">±[V]</t>
    </r>
  </si>
  <si>
    <r>
      <rPr>
        <sz val="10"/>
        <rFont val="Noto Sans CJK SC"/>
        <family val="2"/>
      </rPr>
      <t xml:space="preserve">질의 범위를 덮어야 곡선 예측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재중심이 됨</t>
    </r>
    <r>
      <rPr>
        <sz val="10"/>
        <rFont val="Arial"/>
        <family val="0"/>
        <charset val="1"/>
      </rPr>
      <t xml:space="preserve">. 0.8 </t>
    </r>
    <r>
      <rPr>
        <sz val="10"/>
        <rFont val="Noto Sans CJK SC"/>
        <family val="2"/>
      </rPr>
      <t xml:space="preserve">은 동급 </t>
    </r>
    <r>
      <rPr>
        <sz val="10"/>
        <rFont val="Arial"/>
        <family val="0"/>
        <charset val="1"/>
      </rPr>
      <t xml:space="preserve">(0.98) </t>
    </r>
    <r>
      <rPr>
        <sz val="10"/>
        <rFont val="Noto Sans CJK SC"/>
        <family val="2"/>
      </rPr>
      <t xml:space="preserve">이나 시간 ↑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</si>
  <si>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차 </t>
    </r>
    <r>
      <rPr>
        <b val="true"/>
        <sz val="10"/>
        <rFont val="Arial"/>
        <family val="0"/>
        <charset val="1"/>
      </rPr>
      <t xml:space="preserve">fit </t>
    </r>
    <r>
      <rPr>
        <b val="true"/>
        <sz val="10"/>
        <rFont val="Noto Sans CJK SC"/>
        <family val="2"/>
      </rPr>
      <t xml:space="preserve">창 </t>
    </r>
    <r>
      <rPr>
        <b val="true"/>
        <sz val="10"/>
        <rFont val="Arial"/>
        <family val="0"/>
        <charset val="1"/>
      </rPr>
      <t xml:space="preserve">±[V]</t>
    </r>
  </si>
  <si>
    <r>
      <rPr>
        <sz val="10"/>
        <rFont val="Arial"/>
        <family val="0"/>
        <charset val="1"/>
      </rPr>
      <t xml:space="preserve">0.5 → 0.6 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+0.02 (0.961 → 0.980 @span0.7). 0.7 </t>
    </r>
    <r>
      <rPr>
        <sz val="10"/>
        <rFont val="Noto Sans CJK SC"/>
        <family val="2"/>
      </rPr>
      <t xml:space="preserve">은 동급 </t>
    </r>
    <r>
      <rPr>
        <sz val="10"/>
        <rFont val="Arial"/>
        <family val="0"/>
        <charset val="1"/>
      </rPr>
      <t xml:space="preserve">(0.981).</t>
    </r>
  </si>
  <si>
    <r>
      <rPr>
        <b val="true"/>
        <sz val="10"/>
        <rFont val="Arial"/>
        <family val="0"/>
        <charset val="1"/>
      </rPr>
      <t xml:space="preserve">samples (</t>
    </r>
    <r>
      <rPr>
        <b val="true"/>
        <sz val="10"/>
        <rFont val="Noto Sans CJK SC"/>
        <family val="2"/>
      </rPr>
      <t xml:space="preserve">질의당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</si>
  <si>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1: 0.948 (RMSE 10~12) · 3: 0.980 · 6: 0.985 (n=2, </t>
    </r>
    <r>
      <rPr>
        <sz val="10"/>
        <rFont val="Noto Sans CJK SC"/>
        <family val="2"/>
      </rPr>
      <t xml:space="preserve">질의 시간 </t>
    </r>
    <r>
      <rPr>
        <sz val="10"/>
        <rFont val="Arial"/>
        <family val="0"/>
        <charset val="1"/>
      </rPr>
      <t xml:space="preserve">+40%, </t>
    </r>
    <r>
      <rPr>
        <sz val="10"/>
        <rFont val="Noto Sans CJK SC"/>
        <family val="2"/>
      </rPr>
      <t xml:space="preserve">교정 시간 대비 미미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</si>
  <si>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질의 수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라운드</t>
    </r>
  </si>
  <si>
    <r>
      <rPr>
        <sz val="10"/>
        <rFont val="Noto Sans CJK SC"/>
        <family val="2"/>
      </rPr>
      <t xml:space="preserve">무작위 균일 </t>
    </r>
    <r>
      <rPr>
        <sz val="10"/>
        <rFont val="Arial"/>
        <family val="0"/>
        <charset val="1"/>
      </rPr>
      <t xml:space="preserve">(seed </t>
    </r>
    <r>
      <rPr>
        <sz val="10"/>
        <rFont val="Noto Sans CJK SC"/>
        <family val="2"/>
      </rPr>
      <t xml:space="preserve">고정 → 조건 간 짝 비교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</si>
  <si>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라운드 시간 </t>
    </r>
    <r>
      <rPr>
        <b val="true"/>
        <sz val="10"/>
        <rFont val="Arial"/>
        <family val="0"/>
        <charset val="1"/>
      </rPr>
      <t xml:space="preserve">[s]</t>
    </r>
  </si>
  <si>
    <r>
      <rPr>
        <sz val="10"/>
        <rFont val="Noto Sans CJK SC"/>
        <family val="2"/>
      </rPr>
      <t xml:space="preserve">중앙값 </t>
    </r>
    <r>
      <rPr>
        <sz val="10"/>
        <rFont val="Arial"/>
        <family val="0"/>
        <charset val="1"/>
      </rPr>
      <t xml:space="preserve">(health + </t>
    </r>
    <r>
      <rPr>
        <sz val="10"/>
        <rFont val="Noto Sans CJK SC"/>
        <family val="2"/>
      </rPr>
      <t xml:space="preserve">교정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열 </t>
    </r>
    <r>
      <rPr>
        <sz val="10"/>
        <rFont val="Arial"/>
        <family val="0"/>
        <charset val="1"/>
      </rPr>
      <t xml:space="preserve">+ 24 </t>
    </r>
    <r>
      <rPr>
        <sz val="10"/>
        <rFont val="Noto Sans CJK SC"/>
        <family val="2"/>
      </rPr>
      <t xml:space="preserve">질의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교정 ≈ </t>
    </r>
    <r>
      <rPr>
        <sz val="10"/>
        <rFont val="Arial"/>
        <family val="0"/>
        <charset val="1"/>
      </rPr>
      <t xml:space="preserve">99 s.</t>
    </r>
  </si>
  <si>
    <r>
      <rPr>
        <b val="true"/>
        <sz val="10"/>
        <rFont val="Noto Sans CJK SC"/>
        <family val="2"/>
      </rPr>
      <t xml:space="preserve">권장 조건에서의 성능 </t>
    </r>
    <r>
      <rPr>
        <b val="true"/>
        <sz val="10"/>
        <rFont val="Arial"/>
        <family val="0"/>
        <charset val="1"/>
      </rPr>
      <t xml:space="preserve">(Rounds </t>
    </r>
    <r>
      <rPr>
        <b val="true"/>
        <sz val="10"/>
        <rFont val="Noto Sans CJK SC"/>
        <family val="2"/>
      </rPr>
      <t xml:space="preserve">시트에서 수식으로 집계</t>
    </r>
    <r>
      <rPr>
        <b val="true"/>
        <sz val="10"/>
        <rFont val="Arial"/>
        <family val="0"/>
        <charset val="1"/>
      </rPr>
      <t xml:space="preserve">: span 0.7 / mbl −1.75 / sweep 0.7 / fit 0.6 / samples 3 / center_d 0)</t>
    </r>
  </si>
  <si>
    <t xml:space="preserve">설명</t>
  </si>
  <si>
    <r>
      <rPr>
        <b val="true"/>
        <sz val="10"/>
        <rFont val="Arial"/>
        <family val="0"/>
        <charset val="1"/>
      </rPr>
      <t xml:space="preserve">n (</t>
    </r>
    <r>
      <rPr>
        <b val="true"/>
        <sz val="10"/>
        <rFont val="Noto Sans CJK SC"/>
        <family val="2"/>
      </rPr>
      <t xml:space="preserve">라운드 수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</si>
  <si>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Rounds </t>
    </r>
    <r>
      <rPr>
        <sz val="10"/>
        <rFont val="Noto Sans CJK SC"/>
        <family val="2"/>
      </rPr>
      <t xml:space="preserve">시트 </t>
    </r>
    <r>
      <rPr>
        <sz val="10"/>
        <rFont val="Arial"/>
        <family val="0"/>
        <charset val="1"/>
      </rPr>
      <t xml:space="preserve">COUNTIFS/AVERAGEIFS/MINIFS/MAXIFS</t>
    </r>
  </si>
  <si>
    <r>
      <rPr>
        <b val="true"/>
        <sz val="10"/>
        <rFont val="Arial"/>
        <family val="0"/>
        <charset val="1"/>
      </rPr>
      <t xml:space="preserve">score </t>
    </r>
    <r>
      <rPr>
        <b val="true"/>
        <sz val="10"/>
        <rFont val="Noto Sans CJK SC"/>
        <family val="2"/>
      </rPr>
      <t xml:space="preserve">평균 </t>
    </r>
    <r>
      <rPr>
        <b val="true"/>
        <sz val="10"/>
        <rFont val="Arial"/>
        <family val="0"/>
        <charset val="1"/>
      </rPr>
      <t xml:space="preserve">(row </t>
    </r>
    <r>
      <rPr>
        <b val="true"/>
        <sz val="10"/>
        <rFont val="Noto Sans CJK SC"/>
        <family val="2"/>
      </rPr>
      <t xml:space="preserve">평균 </t>
    </r>
    <r>
      <rPr>
        <b val="true"/>
        <sz val="10"/>
        <rFont val="Arial"/>
        <family val="0"/>
        <charset val="1"/>
      </rPr>
      <t xml:space="preserve">R²)</t>
    </r>
  </si>
  <si>
    <r>
      <rPr>
        <b val="true"/>
        <sz val="10"/>
        <rFont val="Arial"/>
        <family val="0"/>
        <charset val="1"/>
      </rPr>
      <t xml:space="preserve">score </t>
    </r>
    <r>
      <rPr>
        <b val="true"/>
        <sz val="10"/>
        <rFont val="Noto Sans CJK SC"/>
        <family val="2"/>
      </rPr>
      <t xml:space="preserve">최소</t>
    </r>
  </si>
  <si>
    <r>
      <rPr>
        <b val="true"/>
        <sz val="10"/>
        <rFont val="Arial"/>
        <family val="0"/>
        <charset val="1"/>
      </rPr>
      <t xml:space="preserve">score </t>
    </r>
    <r>
      <rPr>
        <b val="true"/>
        <sz val="10"/>
        <rFont val="Noto Sans CJK SC"/>
        <family val="2"/>
      </rPr>
      <t xml:space="preserve">최대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</si>
  <si>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차 </t>
    </r>
    <r>
      <rPr>
        <b val="true"/>
        <sz val="10"/>
        <rFont val="Arial"/>
        <family val="0"/>
        <charset val="1"/>
      </rPr>
      <t xml:space="preserve">RMSE </t>
    </r>
    <r>
      <rPr>
        <b val="true"/>
        <sz val="10"/>
        <rFont val="Noto Sans CJK SC"/>
        <family val="2"/>
      </rPr>
      <t xml:space="preserve">평균 </t>
    </r>
    <r>
      <rPr>
        <b val="true"/>
        <sz val="10"/>
        <rFont val="Arial"/>
        <family val="0"/>
        <charset val="1"/>
      </rPr>
      <t xml:space="preserve">[code]</t>
    </r>
  </si>
  <si>
    <r>
      <rPr>
        <b val="true"/>
        <sz val="10"/>
        <rFont val="Arial"/>
        <family val="0"/>
        <charset val="1"/>
      </rPr>
      <t xml:space="preserve">noise </t>
    </r>
    <r>
      <rPr>
        <b val="true"/>
        <sz val="10"/>
        <rFont val="Noto Sans CJK SC"/>
        <family val="2"/>
      </rPr>
      <t xml:space="preserve">평균 </t>
    </r>
    <r>
      <rPr>
        <b val="true"/>
        <sz val="10"/>
        <rFont val="Arial"/>
        <family val="0"/>
        <charset val="1"/>
      </rPr>
      <t xml:space="preserve">[code]</t>
    </r>
  </si>
  <si>
    <r>
      <rPr>
        <b val="true"/>
        <sz val="10"/>
        <rFont val="Arial"/>
        <family val="0"/>
        <charset val="1"/>
      </rPr>
      <t xml:space="preserve">SNR </t>
    </r>
    <r>
      <rPr>
        <b val="true"/>
        <sz val="10"/>
        <rFont val="Noto Sans CJK SC"/>
        <family val="2"/>
      </rPr>
      <t xml:space="preserve">평균</t>
    </r>
  </si>
  <si>
    <r>
      <rPr>
        <b val="true"/>
        <sz val="10"/>
        <rFont val="Noto Sans CJK SC"/>
        <family val="2"/>
      </rPr>
      <t xml:space="preserve">신호 </t>
    </r>
    <r>
      <rPr>
        <b val="true"/>
        <sz val="10"/>
        <rFont val="Arial"/>
        <family val="0"/>
        <charset val="1"/>
      </rPr>
      <t xml:space="preserve">σ </t>
    </r>
    <r>
      <rPr>
        <b val="true"/>
        <sz val="10"/>
        <rFont val="Noto Sans CJK SC"/>
        <family val="2"/>
      </rPr>
      <t xml:space="preserve">평균 </t>
    </r>
    <r>
      <rPr>
        <b val="true"/>
        <sz val="10"/>
        <rFont val="Arial"/>
        <family val="0"/>
        <charset val="1"/>
      </rPr>
      <t xml:space="preserve">[code]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</si>
  <si>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평균 </t>
    </r>
    <r>
      <rPr>
        <b val="true"/>
        <sz val="10"/>
        <rFont val="Arial"/>
        <family val="0"/>
        <charset val="1"/>
      </rPr>
      <t xml:space="preserve">[code/V²]</t>
    </r>
  </si>
  <si>
    <r>
      <rPr>
        <b val="true"/>
        <sz val="10"/>
        <rFont val="Arial"/>
        <family val="0"/>
        <charset val="1"/>
      </rPr>
      <t xml:space="preserve">headroom </t>
    </r>
    <r>
      <rPr>
        <b val="true"/>
        <sz val="10"/>
        <rFont val="Noto Sans CJK SC"/>
        <family val="2"/>
      </rPr>
      <t xml:space="preserve">최소 </t>
    </r>
    <r>
      <rPr>
        <b val="true"/>
        <sz val="10"/>
        <rFont val="Arial"/>
        <family val="0"/>
        <charset val="1"/>
      </rPr>
      <t xml:space="preserve">[code]</t>
    </r>
  </si>
  <si>
    <r>
      <rPr>
        <b val="true"/>
        <sz val="10"/>
        <rFont val="Arial"/>
        <family val="0"/>
        <charset val="1"/>
      </rPr>
      <t xml:space="preserve">depth </t>
    </r>
    <r>
      <rPr>
        <b val="true"/>
        <sz val="10"/>
        <rFont val="Noto Sans CJK SC"/>
        <family val="2"/>
      </rPr>
      <t xml:space="preserve">평균 </t>
    </r>
    <r>
      <rPr>
        <b val="true"/>
        <sz val="10"/>
        <rFont val="Arial"/>
        <family val="0"/>
        <charset val="1"/>
      </rPr>
      <t xml:space="preserve">[code]</t>
    </r>
  </si>
  <si>
    <r>
      <rPr>
        <i val="true"/>
        <sz val="9"/>
        <color rgb="FF555555"/>
        <rFont val="Noto Sans CJK SC"/>
        <family val="2"/>
      </rPr>
      <t xml:space="preserve">※ 중앙값은 엑셀 조건부 </t>
    </r>
    <r>
      <rPr>
        <i val="true"/>
        <sz val="9"/>
        <color rgb="FF555555"/>
        <rFont val="Arial"/>
        <family val="0"/>
        <charset val="1"/>
      </rPr>
      <t xml:space="preserve">MEDIAN </t>
    </r>
    <r>
      <rPr>
        <i val="true"/>
        <sz val="9"/>
        <color rgb="FF555555"/>
        <rFont val="Noto Sans CJK SC"/>
        <family val="2"/>
      </rPr>
      <t xml:space="preserve">이 배열수식이라 조건별요약 시트에 값으로 기록</t>
    </r>
  </si>
  <si>
    <t xml:space="preserve">round</t>
  </si>
  <si>
    <t xml:space="preserve">time</t>
  </si>
  <si>
    <t xml:space="preserve">phase</t>
  </si>
  <si>
    <t xml:space="preserve">tag</t>
  </si>
  <si>
    <t xml:space="preserve">span</t>
  </si>
  <si>
    <t xml:space="preserve">mbl</t>
  </si>
  <si>
    <t xml:space="preserve">center</t>
  </si>
  <si>
    <t xml:space="preserve">center_d</t>
  </si>
  <si>
    <t xml:space="preserve">sweep_half</t>
  </si>
  <si>
    <t xml:space="preserve">fit_half</t>
  </si>
  <si>
    <t xml:space="preserve">samples</t>
  </si>
  <si>
    <t xml:space="preserve">n_query</t>
  </si>
  <si>
    <t xml:space="preserve">seed</t>
  </si>
  <si>
    <t xml:space="preserve">is_ref</t>
  </si>
  <si>
    <t xml:space="preserve">score</t>
  </si>
  <si>
    <t xml:space="preserve">predictor</t>
  </si>
  <si>
    <t xml:space="preserve">r2_q_row0</t>
  </si>
  <si>
    <t xml:space="preserve">r2_q_row1</t>
  </si>
  <si>
    <t xml:space="preserve">r2_q_rows</t>
  </si>
  <si>
    <t xml:space="preserve">r2_q_all</t>
  </si>
  <si>
    <t xml:space="preserve">rmse_q</t>
  </si>
  <si>
    <t xml:space="preserve">r2_c_row0</t>
  </si>
  <si>
    <t xml:space="preserve">r2_c_row1</t>
  </si>
  <si>
    <t xml:space="preserve">r2_c_rows</t>
  </si>
  <si>
    <t xml:space="preserve">r2_c_all</t>
  </si>
  <si>
    <t xml:space="preserve">rmse_c</t>
  </si>
  <si>
    <t xml:space="preserve">n_sup</t>
  </si>
  <si>
    <t xml:space="preserve">coverage</t>
  </si>
  <si>
    <t xml:space="preserve">snr</t>
  </si>
  <si>
    <t xml:space="preserve">sig_std</t>
  </si>
  <si>
    <t xml:space="preserve">noise</t>
  </si>
  <si>
    <t xml:space="preserve">resid_slope</t>
  </si>
  <si>
    <t xml:space="preserve">acc_cal</t>
  </si>
  <si>
    <t xml:space="preserve">margin</t>
  </si>
  <si>
    <t xml:space="preserve">depth_min</t>
  </si>
  <si>
    <t xml:space="preserve">headroom_min</t>
  </si>
  <si>
    <t xml:space="preserve">kappa_mean</t>
  </si>
  <si>
    <t xml:space="preserve">S_check_max</t>
  </si>
  <si>
    <t xml:space="preserve">m0_check_max</t>
  </si>
  <si>
    <t xml:space="preserve">v0_R0C0</t>
  </si>
  <si>
    <t xml:space="preserve">v0_R0C1</t>
  </si>
  <si>
    <t xml:space="preserve">v0_R1C0</t>
  </si>
  <si>
    <t xml:space="preserve">v0_R1C1</t>
  </si>
  <si>
    <t xml:space="preserve">se_max_mV</t>
  </si>
  <si>
    <t xml:space="preserve">health_spread0</t>
  </si>
  <si>
    <t xml:space="preserve">health_spread1</t>
  </si>
  <si>
    <t xml:space="preserve">readout_flag</t>
  </si>
  <si>
    <t xml:space="preserve">cal_s</t>
  </si>
  <si>
    <t xml:space="preserve">run_s</t>
  </si>
  <si>
    <t xml:space="preserve">t_s</t>
  </si>
  <si>
    <t xml:space="preserve">timestamp</t>
  </si>
  <si>
    <t xml:space="preserve">09:59:39</t>
  </si>
  <si>
    <t xml:space="preserve">queue</t>
  </si>
  <si>
    <t xml:space="preserve">base</t>
  </si>
  <si>
    <t xml:space="preserve">quad</t>
  </si>
  <si>
    <t xml:space="preserve">2026-09-06T09:59:39</t>
  </si>
  <si>
    <t xml:space="preserve">10:02:15</t>
  </si>
  <si>
    <t xml:space="preserve">wide-sweep</t>
  </si>
  <si>
    <t xml:space="preserve">2026-09-06T10:02:15</t>
  </si>
  <si>
    <t xml:space="preserve">10:06:52</t>
  </si>
  <si>
    <t xml:space="preserve">2026-09-06T10:06:52</t>
  </si>
  <si>
    <t xml:space="preserve">10:08:42</t>
  </si>
  <si>
    <t xml:space="preserve">2026-09-06T10:08:42</t>
  </si>
  <si>
    <t xml:space="preserve">10:11:42</t>
  </si>
  <si>
    <t xml:space="preserve">2026-09-06T10:11:42</t>
  </si>
  <si>
    <t xml:space="preserve">10:13:42</t>
  </si>
  <si>
    <t xml:space="preserve">2026-09-06T10:13:42</t>
  </si>
  <si>
    <t xml:space="preserve">10:16:43</t>
  </si>
  <si>
    <t xml:space="preserve">2026-09-06T10:16:43</t>
  </si>
  <si>
    <t xml:space="preserve">10:19:27</t>
  </si>
  <si>
    <t xml:space="preserve">fit</t>
  </si>
  <si>
    <t xml:space="preserve">2026-09-06T10:19:27</t>
  </si>
  <si>
    <t xml:space="preserve">10:20:34</t>
  </si>
  <si>
    <t xml:space="preserve">2026-09-06T10:20:34</t>
  </si>
  <si>
    <t xml:space="preserve">10:25:17</t>
  </si>
  <si>
    <t xml:space="preserve">2026-09-06T10:25:17</t>
  </si>
  <si>
    <t xml:space="preserve">10:27:06</t>
  </si>
  <si>
    <t xml:space="preserve">2026-09-06T10:27:06</t>
  </si>
  <si>
    <t xml:space="preserve">10:30:39</t>
  </si>
  <si>
    <t xml:space="preserve">2026-09-06T10:30:39</t>
  </si>
  <si>
    <t xml:space="preserve">10:34:13</t>
  </si>
  <si>
    <t xml:space="preserve">rep-inc</t>
  </si>
  <si>
    <t xml:space="preserve">2026-09-06T10:34:13</t>
  </si>
  <si>
    <t xml:space="preserve">10:35:47</t>
  </si>
  <si>
    <t xml:space="preserve">neighbor</t>
  </si>
  <si>
    <t xml:space="preserve">2026-09-06T10:35:47</t>
  </si>
  <si>
    <t xml:space="preserve">10:37:21</t>
  </si>
  <si>
    <t xml:space="preserve">2026-09-06T10:37:21</t>
  </si>
  <si>
    <t xml:space="preserve">10:40:23</t>
  </si>
  <si>
    <t xml:space="preserve">ref</t>
  </si>
  <si>
    <t xml:space="preserve">2026-09-06T10:40:23</t>
  </si>
  <si>
    <t xml:space="preserve">10:41:40</t>
  </si>
  <si>
    <t xml:space="preserve">2026-09-06T10:41:40</t>
  </si>
  <si>
    <t xml:space="preserve">10:44:49</t>
  </si>
  <si>
    <t xml:space="preserve">2026-09-06T10:44:49</t>
  </si>
  <si>
    <t xml:space="preserve">10:47:34</t>
  </si>
  <si>
    <t xml:space="preserve">2026-09-06T10:47:34</t>
  </si>
  <si>
    <t xml:space="preserve">10:49:53</t>
  </si>
  <si>
    <t xml:space="preserve">2026-09-06T10:49:53</t>
  </si>
  <si>
    <t xml:space="preserve">10:51:30</t>
  </si>
  <si>
    <t xml:space="preserve">2026-09-06T10:51:30</t>
  </si>
  <si>
    <t xml:space="preserve">10:55:02</t>
  </si>
  <si>
    <t xml:space="preserve">2026-09-06T10:55:02</t>
  </si>
  <si>
    <t xml:space="preserve">10:57:48</t>
  </si>
  <si>
    <t xml:space="preserve">2026-09-06T10:57:48</t>
  </si>
  <si>
    <t xml:space="preserve">11:00:12</t>
  </si>
  <si>
    <t xml:space="preserve">2026-09-06T11:00:12</t>
  </si>
  <si>
    <t xml:space="preserve">11:01:38</t>
  </si>
  <si>
    <t xml:space="preserve">2026-09-06T11:01:38</t>
  </si>
  <si>
    <t xml:space="preserve">11:04:36</t>
  </si>
  <si>
    <t xml:space="preserve">2026-09-06T11:04:36</t>
  </si>
  <si>
    <t xml:space="preserve">11:07:36</t>
  </si>
  <si>
    <t xml:space="preserve">curve</t>
  </si>
  <si>
    <t xml:space="preserve">2026-09-06T11:07:36</t>
  </si>
  <si>
    <t xml:space="preserve">11:09:48</t>
  </si>
  <si>
    <t xml:space="preserve">2026-09-06T11:09:48</t>
  </si>
  <si>
    <t xml:space="preserve">11:11:46</t>
  </si>
  <si>
    <t xml:space="preserve">2026-09-06T11:11:46</t>
  </si>
  <si>
    <t xml:space="preserve">11:13:45</t>
  </si>
  <si>
    <t xml:space="preserve">2026-09-06T11:13:45</t>
  </si>
  <si>
    <t xml:space="preserve">11:15:59</t>
  </si>
  <si>
    <t xml:space="preserve">top-rep</t>
  </si>
  <si>
    <t xml:space="preserve">2026-09-06T11:15:59</t>
  </si>
  <si>
    <t xml:space="preserve">11:17:51</t>
  </si>
  <si>
    <t xml:space="preserve">2026-09-06T11:17:51</t>
  </si>
  <si>
    <t xml:space="preserve">11:19:24</t>
  </si>
  <si>
    <t xml:space="preserve">2026-09-06T11:19:24</t>
  </si>
  <si>
    <t xml:space="preserve">11:21:19</t>
  </si>
  <si>
    <t xml:space="preserve">2026-09-06T11:21:19</t>
  </si>
  <si>
    <t xml:space="preserve">11:23:29</t>
  </si>
  <si>
    <t xml:space="preserve">new</t>
  </si>
  <si>
    <t xml:space="preserve">2026-09-06T11:23:29</t>
  </si>
  <si>
    <t xml:space="preserve">11:25:38</t>
  </si>
  <si>
    <t xml:space="preserve">2026-09-06T11:25:38</t>
  </si>
  <si>
    <t xml:space="preserve">11:28:55</t>
  </si>
  <si>
    <t xml:space="preserve">2026-09-06T11:28:55</t>
  </si>
  <si>
    <t xml:space="preserve">11:33:28</t>
  </si>
  <si>
    <t xml:space="preserve">2026-09-06T11:33:28</t>
  </si>
  <si>
    <t xml:space="preserve">11:35:01</t>
  </si>
  <si>
    <t xml:space="preserve">2026-09-06T11:35:01</t>
  </si>
  <si>
    <t xml:space="preserve">11:36:43</t>
  </si>
  <si>
    <t xml:space="preserve">2026-09-06T11:36:43</t>
  </si>
  <si>
    <t xml:space="preserve">11:42:24</t>
  </si>
  <si>
    <t xml:space="preserve">2026-09-06T11:42:24</t>
  </si>
  <si>
    <t xml:space="preserve">11:45:55</t>
  </si>
  <si>
    <t xml:space="preserve">2026-09-06T11:45:55</t>
  </si>
  <si>
    <t xml:space="preserve">11:51:11</t>
  </si>
  <si>
    <t xml:space="preserve">2026-09-06T11:51:11</t>
  </si>
  <si>
    <t xml:space="preserve">11:52:37</t>
  </si>
  <si>
    <t xml:space="preserve">2026-09-06T11:52:37</t>
  </si>
  <si>
    <t xml:space="preserve">11:54:46</t>
  </si>
  <si>
    <t xml:space="preserve">2026-09-06T11:54:46</t>
  </si>
  <si>
    <t xml:space="preserve">11:57:00</t>
  </si>
  <si>
    <t xml:space="preserve">2026-09-06T11:57:00</t>
  </si>
  <si>
    <t xml:space="preserve">11:58:48</t>
  </si>
  <si>
    <t xml:space="preserve">2026-09-06T11:58:48</t>
  </si>
  <si>
    <t xml:space="preserve">12:00:40</t>
  </si>
  <si>
    <t xml:space="preserve">2026-09-06T12:00:40</t>
  </si>
  <si>
    <t xml:space="preserve">12:03:34</t>
  </si>
  <si>
    <t xml:space="preserve">2026-09-06T12:03:34</t>
  </si>
  <si>
    <t xml:space="preserve">12:07:44</t>
  </si>
  <si>
    <t xml:space="preserve">2026-09-06T12:07:44</t>
  </si>
  <si>
    <t xml:space="preserve">12:09:17</t>
  </si>
  <si>
    <t xml:space="preserve">2026-09-06T12:09:17</t>
  </si>
  <si>
    <t xml:space="preserve">12:13:50</t>
  </si>
  <si>
    <t xml:space="preserve">2026-09-06T12:13:50</t>
  </si>
  <si>
    <t xml:space="preserve">12:16:59</t>
  </si>
  <si>
    <t xml:space="preserve">2026-09-06T12:16:59</t>
  </si>
  <si>
    <t xml:space="preserve">12:19:36</t>
  </si>
  <si>
    <t xml:space="preserve">A 0.75/0.8/0.6</t>
  </si>
  <si>
    <t xml:space="preserve">2026-09-06T12:19:36</t>
  </si>
  <si>
    <t xml:space="preserve">12:20:59</t>
  </si>
  <si>
    <t xml:space="preserve">B 0.7/0.7/0.7</t>
  </si>
  <si>
    <t xml:space="preserve">2026-09-06T12:20:59</t>
  </si>
  <si>
    <t xml:space="preserve">12:22:35</t>
  </si>
  <si>
    <t xml:space="preserve">C mbl-1.5</t>
  </si>
  <si>
    <t xml:space="preserve">2026-09-06T12:22:35</t>
  </si>
  <si>
    <t xml:space="preserve">12:24:44</t>
  </si>
  <si>
    <t xml:space="preserve">D 0.75/0.8/0.7</t>
  </si>
  <si>
    <t xml:space="preserve">2026-09-06T12:24:44</t>
  </si>
  <si>
    <t xml:space="preserve">12:27:30</t>
  </si>
  <si>
    <t xml:space="preserve">2026-09-06T12:27:30</t>
  </si>
  <si>
    <t xml:space="preserve">12:29:11</t>
  </si>
  <si>
    <t xml:space="preserve">2026-09-06T12:29:11</t>
  </si>
  <si>
    <t xml:space="preserve">12:30:59</t>
  </si>
  <si>
    <t xml:space="preserve">2026-09-06T12:30:59</t>
  </si>
  <si>
    <t xml:space="preserve">12:32:50</t>
  </si>
  <si>
    <t xml:space="preserve">2026-09-06T12:32:50</t>
  </si>
  <si>
    <t xml:space="preserve">12:35:34</t>
  </si>
  <si>
    <t xml:space="preserve">2026-09-06T12:35:34</t>
  </si>
  <si>
    <t xml:space="preserve">12:37:16</t>
  </si>
  <si>
    <t xml:space="preserve">2026-09-06T12:37:16</t>
  </si>
  <si>
    <t xml:space="preserve">12:39:30</t>
  </si>
  <si>
    <t xml:space="preserve">E mbl-1.75</t>
  </si>
  <si>
    <t xml:space="preserve">2026-09-06T12:39:30</t>
  </si>
  <si>
    <t xml:space="preserve">12:41:22</t>
  </si>
  <si>
    <t xml:space="preserve">F mbl-1.5 0.75</t>
  </si>
  <si>
    <t xml:space="preserve">2026-09-06T12:41:22</t>
  </si>
  <si>
    <t xml:space="preserve">12:44:02</t>
  </si>
  <si>
    <t xml:space="preserve">2026-09-06T12:44:02</t>
  </si>
  <si>
    <t xml:space="preserve">12:46:21</t>
  </si>
  <si>
    <t xml:space="preserve">2026-09-06T12:46:21</t>
  </si>
  <si>
    <t xml:space="preserve">12:48:59</t>
  </si>
  <si>
    <t xml:space="preserve">2026-09-06T12:48:59</t>
  </si>
  <si>
    <t xml:space="preserve">12:51:10</t>
  </si>
  <si>
    <t xml:space="preserve">explore2</t>
  </si>
  <si>
    <t xml:space="preserve">2026-09-06T12:51:10</t>
  </si>
  <si>
    <t xml:space="preserve">12:53:53</t>
  </si>
  <si>
    <t xml:space="preserve">2026-09-06T12:53:53</t>
  </si>
  <si>
    <t xml:space="preserve">12:55:44</t>
  </si>
  <si>
    <t xml:space="preserve">2026-09-06T12:55:44</t>
  </si>
  <si>
    <t xml:space="preserve">12:57:54</t>
  </si>
  <si>
    <t xml:space="preserve">2026-09-06T12:57:54</t>
  </si>
  <si>
    <t xml:space="preserve">13:00:17</t>
  </si>
  <si>
    <t xml:space="preserve">2026-09-06T13:00:17</t>
  </si>
  <si>
    <t xml:space="preserve">13:02:08</t>
  </si>
  <si>
    <t xml:space="preserve">2026-09-06T13:02:08</t>
  </si>
  <si>
    <t xml:space="preserve">13:04:08</t>
  </si>
  <si>
    <t xml:space="preserve">2026-09-06T13:04:08</t>
  </si>
  <si>
    <t xml:space="preserve">13:05:59</t>
  </si>
  <si>
    <t xml:space="preserve">2026-09-06T13:05:59</t>
  </si>
  <si>
    <t xml:space="preserve">13:09:25</t>
  </si>
  <si>
    <t xml:space="preserve">2026-09-06T13:09:25</t>
  </si>
  <si>
    <t xml:space="preserve">13:11:52</t>
  </si>
  <si>
    <t xml:space="preserve">2026-09-06T13:11:52</t>
  </si>
  <si>
    <t xml:space="preserve">13:13:42</t>
  </si>
  <si>
    <t xml:space="preserve">2026-09-06T13:13:42</t>
  </si>
  <si>
    <t xml:space="preserve">13:16:11</t>
  </si>
  <si>
    <t xml:space="preserve">2026-09-06T13:16:11</t>
  </si>
  <si>
    <t xml:space="preserve">13:19:31</t>
  </si>
  <si>
    <t xml:space="preserve">G mbl-1.75</t>
  </si>
  <si>
    <t xml:space="preserve">2026-09-06T13:19:31</t>
  </si>
  <si>
    <t xml:space="preserve">13:21:08</t>
  </si>
  <si>
    <t xml:space="preserve">H mbl-2.0</t>
  </si>
  <si>
    <t xml:space="preserve">2026-09-06T13:21:08</t>
  </si>
  <si>
    <t xml:space="preserve">13:24:00</t>
  </si>
  <si>
    <t xml:space="preserve">I mbl-1.75 fit0.7</t>
  </si>
  <si>
    <t xml:space="preserve">2026-09-06T13:24:00</t>
  </si>
  <si>
    <t xml:space="preserve">13:25:51</t>
  </si>
  <si>
    <t xml:space="preserve">J mbl-1.5 sw0.8</t>
  </si>
  <si>
    <t xml:space="preserve">2026-09-06T13:25:51</t>
  </si>
  <si>
    <t xml:space="preserve">13:27:34</t>
  </si>
  <si>
    <t xml:space="preserve">2026-09-06T13:27:34</t>
  </si>
  <si>
    <t xml:space="preserve">13:32:30</t>
  </si>
  <si>
    <t xml:space="preserve">2026-09-06T13:32:30</t>
  </si>
  <si>
    <t xml:space="preserve">13:34:57</t>
  </si>
  <si>
    <t xml:space="preserve">2026-09-06T13:34:57</t>
  </si>
  <si>
    <t xml:space="preserve">13:38:34</t>
  </si>
  <si>
    <t xml:space="preserve">2026-09-06T13:38:34</t>
  </si>
  <si>
    <t xml:space="preserve">13:40:58</t>
  </si>
  <si>
    <t xml:space="preserve">2026-09-06T13:40:58</t>
  </si>
  <si>
    <t xml:space="preserve">13:42:52</t>
  </si>
  <si>
    <t xml:space="preserve">2026-09-06T13:42:52</t>
  </si>
  <si>
    <t xml:space="preserve">13:45:18</t>
  </si>
  <si>
    <t xml:space="preserve">K mbl-1.75 0.75</t>
  </si>
  <si>
    <t xml:space="preserve">2026-09-06T13:45:18</t>
  </si>
  <si>
    <t xml:space="preserve">13:48:02</t>
  </si>
  <si>
    <t xml:space="preserve">2026-09-06T13:48:02</t>
  </si>
  <si>
    <t xml:space="preserve">13:49:54</t>
  </si>
  <si>
    <t xml:space="preserve">2026-09-06T13:49:54</t>
  </si>
  <si>
    <t xml:space="preserve">13:52:36</t>
  </si>
  <si>
    <t xml:space="preserve">2026-09-06T13:52:36</t>
  </si>
  <si>
    <t xml:space="preserve">13:56:58</t>
  </si>
  <si>
    <t xml:space="preserve">2026-09-06T13:56:58</t>
  </si>
  <si>
    <t xml:space="preserve">13:58:13</t>
  </si>
  <si>
    <t xml:space="preserve">2026-09-06T13:58:13</t>
  </si>
  <si>
    <t xml:space="preserve">14:00:05</t>
  </si>
  <si>
    <t xml:space="preserve">2026-09-06T14:00:05</t>
  </si>
  <si>
    <t xml:space="preserve">14:02:41</t>
  </si>
  <si>
    <t xml:space="preserve">2026-09-06T14:02:41</t>
  </si>
  <si>
    <t xml:space="preserve">14:04:17</t>
  </si>
  <si>
    <t xml:space="preserve">2026-09-06T14:04:17</t>
  </si>
  <si>
    <t xml:space="preserve">14:06:43</t>
  </si>
  <si>
    <t xml:space="preserve">2026-09-06T14:06:43</t>
  </si>
  <si>
    <t xml:space="preserve">14:08:45</t>
  </si>
  <si>
    <t xml:space="preserve">2026-09-06T14:08:45</t>
  </si>
  <si>
    <t xml:space="preserve">14:10:37</t>
  </si>
  <si>
    <t xml:space="preserve">2026-09-06T14:10:37</t>
  </si>
  <si>
    <t xml:space="preserve">14:12:55</t>
  </si>
  <si>
    <t xml:space="preserve">2026-09-06T14:12:55</t>
  </si>
  <si>
    <t xml:space="preserve">14:15:05</t>
  </si>
  <si>
    <t xml:space="preserve">2026-09-06T14:15:05</t>
  </si>
  <si>
    <t xml:space="preserve">14:16:48</t>
  </si>
  <si>
    <t xml:space="preserve">2026-09-06T14:16:48</t>
  </si>
  <si>
    <t xml:space="preserve">14:20:02</t>
  </si>
  <si>
    <t xml:space="preserve">2026-09-06T14:20:02</t>
  </si>
  <si>
    <t xml:space="preserve">14:23:17</t>
  </si>
  <si>
    <t xml:space="preserve">final mbl-1.25</t>
  </si>
  <si>
    <t xml:space="preserve">2026-09-06T14:23:17</t>
  </si>
  <si>
    <t xml:space="preserve">14:25:30</t>
  </si>
  <si>
    <t xml:space="preserve">final mbl-1.5</t>
  </si>
  <si>
    <t xml:space="preserve">2026-09-06T14:25:30</t>
  </si>
  <si>
    <t xml:space="preserve">14:27:57</t>
  </si>
  <si>
    <t xml:space="preserve">final mbl-1.75</t>
  </si>
  <si>
    <t xml:space="preserve">2026-09-06T14:27:57</t>
  </si>
  <si>
    <t xml:space="preserve">14:29:29</t>
  </si>
  <si>
    <t xml:space="preserve">final mbl-2.0</t>
  </si>
  <si>
    <t xml:space="preserve">2026-09-06T14:29:29</t>
  </si>
  <si>
    <t xml:space="preserve">14:31:22</t>
  </si>
  <si>
    <t xml:space="preserve">2026-09-06T14:31:22</t>
  </si>
  <si>
    <t xml:space="preserve">14:32:58</t>
  </si>
  <si>
    <t xml:space="preserve">2026-09-06T14:32:58</t>
  </si>
  <si>
    <t xml:space="preserve">14:36:11</t>
  </si>
  <si>
    <t xml:space="preserve">2026-09-06T14:36:11</t>
  </si>
  <si>
    <t xml:space="preserve">14:38:41</t>
  </si>
  <si>
    <t xml:space="preserve">2026-09-06T14:38:41</t>
  </si>
  <si>
    <t xml:space="preserve">14:39:57</t>
  </si>
  <si>
    <t xml:space="preserve">2026-09-06T14:39:57</t>
  </si>
  <si>
    <t xml:space="preserve">14:41:52</t>
  </si>
  <si>
    <t xml:space="preserve">2026-09-06T14:41:52</t>
  </si>
  <si>
    <t xml:space="preserve">14:43:44</t>
  </si>
  <si>
    <t xml:space="preserve">2026-09-06T14:43:44</t>
  </si>
  <si>
    <t xml:space="preserve">14:45:02</t>
  </si>
  <si>
    <t xml:space="preserve">2026-09-06T14:45:02</t>
  </si>
  <si>
    <t xml:space="preserve">14:49:37</t>
  </si>
  <si>
    <t xml:space="preserve">2026-09-06T14:49:37</t>
  </si>
  <si>
    <t xml:space="preserve">14:51:32</t>
  </si>
  <si>
    <t xml:space="preserve">2026-09-06T14:51:32</t>
  </si>
  <si>
    <t xml:space="preserve">14:52:53</t>
  </si>
  <si>
    <t xml:space="preserve">2026-09-06T14:52:53</t>
  </si>
  <si>
    <t xml:space="preserve">14:54:10</t>
  </si>
  <si>
    <t xml:space="preserve">2026-09-06T14:54:10</t>
  </si>
  <si>
    <t xml:space="preserve">14:55:43</t>
  </si>
  <si>
    <t xml:space="preserve">fit0.7@-1.75</t>
  </si>
  <si>
    <t xml:space="preserve">2026-09-06T14:55:43</t>
  </si>
  <si>
    <t xml:space="preserve">14:57:01</t>
  </si>
  <si>
    <t xml:space="preserve">ns1@-1.75</t>
  </si>
  <si>
    <t xml:space="preserve">2026-09-06T14:57:01</t>
  </si>
  <si>
    <t xml:space="preserve">14:58:28</t>
  </si>
  <si>
    <t xml:space="preserve">ns6@-1.75</t>
  </si>
  <si>
    <t xml:space="preserve">2026-09-06T14:58:28</t>
  </si>
  <si>
    <t xml:space="preserve">15:00:52</t>
  </si>
  <si>
    <t xml:space="preserve">2026-09-06T15:00:52</t>
  </si>
  <si>
    <t xml:space="preserve">15:02:09</t>
  </si>
  <si>
    <t xml:space="preserve">2026-09-06T15:02:09</t>
  </si>
  <si>
    <t xml:space="preserve">15:04:41</t>
  </si>
  <si>
    <t xml:space="preserve">2026-09-06T15:04:41</t>
  </si>
  <si>
    <t xml:space="preserve">15:06:07</t>
  </si>
  <si>
    <t xml:space="preserve">2026-09-06T15:06:07</t>
  </si>
  <si>
    <t xml:space="preserve">15:09:15</t>
  </si>
  <si>
    <t xml:space="preserve">2026-09-06T15:09:15</t>
  </si>
  <si>
    <t xml:space="preserve">15:11:32</t>
  </si>
  <si>
    <t xml:space="preserve">2026-09-06T15:11:32</t>
  </si>
  <si>
    <t xml:space="preserve">15:13:05</t>
  </si>
  <si>
    <t xml:space="preserve">2026-09-06T15:13:05</t>
  </si>
  <si>
    <t xml:space="preserve">15:15:31</t>
  </si>
  <si>
    <t xml:space="preserve">2026-09-06T15:15:31</t>
  </si>
  <si>
    <t xml:space="preserve">15:18:05</t>
  </si>
  <si>
    <t xml:space="preserve">2026-09-06T15:18:05</t>
  </si>
  <si>
    <t xml:space="preserve">15:19:17</t>
  </si>
  <si>
    <t xml:space="preserve">2026-09-06T15:19:17</t>
  </si>
  <si>
    <t xml:space="preserve">15:21:10</t>
  </si>
  <si>
    <t xml:space="preserve">2026-09-06T15:21:10</t>
  </si>
  <si>
    <t xml:space="preserve">15:22:43</t>
  </si>
  <si>
    <t xml:space="preserve">2026-09-06T15:22:43</t>
  </si>
  <si>
    <t xml:space="preserve">15:25:06</t>
  </si>
  <si>
    <t xml:space="preserve">2026-09-06T15:25:06</t>
  </si>
  <si>
    <r>
      <rPr>
        <i val="true"/>
        <sz val="9"/>
        <color rgb="FF555555"/>
        <rFont val="Arial"/>
        <family val="0"/>
        <charset val="1"/>
      </rPr>
      <t xml:space="preserve">samples=1 </t>
    </r>
    <r>
      <rPr>
        <i val="true"/>
        <sz val="9"/>
        <color rgb="FF555555"/>
        <rFont val="Noto Sans CJK SC"/>
        <family val="2"/>
      </rPr>
      <t xml:space="preserve">라운드는 </t>
    </r>
    <r>
      <rPr>
        <i val="true"/>
        <sz val="9"/>
        <color rgb="FF555555"/>
        <rFont val="Arial"/>
        <family val="0"/>
        <charset val="1"/>
      </rPr>
      <t xml:space="preserve">noise </t>
    </r>
    <r>
      <rPr>
        <i val="true"/>
        <sz val="9"/>
        <color rgb="FF555555"/>
        <rFont val="Noto Sans CJK SC"/>
        <family val="2"/>
      </rPr>
      <t xml:space="preserve">열이 </t>
    </r>
    <r>
      <rPr>
        <i val="true"/>
        <sz val="9"/>
        <color rgb="FF555555"/>
        <rFont val="Arial"/>
        <family val="0"/>
        <charset val="1"/>
      </rPr>
      <t xml:space="preserve">0 (</t>
    </r>
    <r>
      <rPr>
        <i val="true"/>
        <sz val="9"/>
        <color rgb="FF555555"/>
        <rFont val="Noto Sans CJK SC"/>
        <family val="2"/>
      </rPr>
      <t xml:space="preserve">단일 샘플이라 표준편차 정의 안 됨</t>
    </r>
    <r>
      <rPr>
        <i val="true"/>
        <sz val="9"/>
        <color rgb="FF555555"/>
        <rFont val="Arial"/>
        <family val="0"/>
        <charset val="1"/>
      </rPr>
      <t xml:space="preserve">). readout_flag=1 </t>
    </r>
    <r>
      <rPr>
        <i val="true"/>
        <sz val="9"/>
        <color rgb="FF555555"/>
        <rFont val="Noto Sans CJK SC"/>
        <family val="2"/>
      </rPr>
      <t xml:space="preserve">은 </t>
    </r>
    <r>
      <rPr>
        <i val="true"/>
        <sz val="9"/>
        <color rgb="FF555555"/>
        <rFont val="Arial"/>
        <family val="0"/>
        <charset val="1"/>
      </rPr>
      <t xml:space="preserve">health </t>
    </r>
    <r>
      <rPr>
        <i val="true"/>
        <sz val="9"/>
        <color rgb="FF555555"/>
        <rFont val="Noto Sans CJK SC"/>
        <family val="2"/>
      </rPr>
      <t xml:space="preserve">재시도 </t>
    </r>
    <r>
      <rPr>
        <i val="true"/>
        <sz val="9"/>
        <color rgb="FF555555"/>
        <rFont val="Arial"/>
        <family val="0"/>
        <charset val="1"/>
      </rPr>
      <t xml:space="preserve">4</t>
    </r>
    <r>
      <rPr>
        <i val="true"/>
        <sz val="9"/>
        <color rgb="FF555555"/>
        <rFont val="Noto Sans CJK SC"/>
        <family val="2"/>
      </rPr>
      <t xml:space="preserve">회 실패 후 강행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이번 실행 </t>
    </r>
    <r>
      <rPr>
        <i val="true"/>
        <sz val="9"/>
        <color rgb="FF555555"/>
        <rFont val="Arial"/>
        <family val="0"/>
        <charset val="1"/>
      </rPr>
      <t xml:space="preserve">0</t>
    </r>
    <r>
      <rPr>
        <i val="true"/>
        <sz val="9"/>
        <color rgb="FF555555"/>
        <rFont val="Noto Sans CJK SC"/>
        <family val="2"/>
      </rPr>
      <t xml:space="preserve">건</t>
    </r>
    <r>
      <rPr>
        <i val="true"/>
        <sz val="9"/>
        <color rgb="FF555555"/>
        <rFont val="Arial"/>
        <family val="0"/>
        <charset val="1"/>
      </rPr>
      <t xml:space="preserve">).</t>
    </r>
  </si>
  <si>
    <r>
      <rPr>
        <b val="true"/>
        <sz val="13"/>
        <rFont val="Noto Sans CJK SC"/>
        <family val="2"/>
      </rPr>
      <t xml:space="preserve">손잡이별 효과 — 전체 </t>
    </r>
    <r>
      <rPr>
        <b val="true"/>
        <sz val="13"/>
        <rFont val="Arial"/>
        <family val="0"/>
        <charset val="1"/>
      </rPr>
      <t xml:space="preserve">138 </t>
    </r>
    <r>
      <rPr>
        <b val="true"/>
        <sz val="13"/>
        <rFont val="Noto Sans CJK SC"/>
        <family val="2"/>
      </rPr>
      <t xml:space="preserve">라운드 </t>
    </r>
    <r>
      <rPr>
        <b val="true"/>
        <sz val="13"/>
        <rFont val="Arial"/>
        <family val="0"/>
        <charset val="1"/>
      </rPr>
      <t xml:space="preserve">(n, </t>
    </r>
    <r>
      <rPr>
        <b val="true"/>
        <sz val="13"/>
        <rFont val="Noto Sans CJK SC"/>
        <family val="2"/>
      </rPr>
      <t xml:space="preserve">평균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Noto Sans CJK SC"/>
        <family val="2"/>
      </rPr>
      <t xml:space="preserve">수식 </t>
    </r>
    <r>
      <rPr>
        <b val="true"/>
        <sz val="13"/>
        <rFont val="Arial"/>
        <family val="0"/>
        <charset val="1"/>
      </rPr>
      <t xml:space="preserve">/ </t>
    </r>
    <r>
      <rPr>
        <b val="true"/>
        <sz val="13"/>
        <rFont val="Noto Sans CJK SC"/>
        <family val="2"/>
      </rPr>
      <t xml:space="preserve">중앙값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최소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최대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Noto Sans CJK SC"/>
        <family val="2"/>
      </rPr>
      <t xml:space="preserve">값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</si>
  <si>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55555"/>
        <rFont val="Noto Sans CJK SC"/>
        <family val="2"/>
      </rPr>
      <t xml:space="preserve">주의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조건이 섞여 있는 주변 분포</t>
    </r>
    <r>
      <rPr>
        <i val="true"/>
        <sz val="9"/>
        <color rgb="FF555555"/>
        <rFont val="Arial"/>
        <family val="0"/>
        <charset val="1"/>
      </rPr>
      <t xml:space="preserve">(marginal). </t>
    </r>
    <r>
      <rPr>
        <i val="true"/>
        <sz val="9"/>
        <color rgb="FF555555"/>
        <rFont val="Noto Sans CJK SC"/>
        <family val="2"/>
      </rPr>
      <t xml:space="preserve">손잡이 하나의 순수 효과는 아래 </t>
    </r>
    <r>
      <rPr>
        <i val="true"/>
        <sz val="9"/>
        <color rgb="FF555555"/>
        <rFont val="Arial"/>
        <family val="0"/>
        <charset val="1"/>
      </rPr>
      <t xml:space="preserve">"</t>
    </r>
    <r>
      <rPr>
        <i val="true"/>
        <sz val="9"/>
        <color rgb="FF555555"/>
        <rFont val="Noto Sans CJK SC"/>
        <family val="2"/>
      </rPr>
      <t xml:space="preserve">고정 조건</t>
    </r>
    <r>
      <rPr>
        <i val="true"/>
        <sz val="9"/>
        <color rgb="FF555555"/>
        <rFont val="Arial"/>
        <family val="0"/>
        <charset val="1"/>
      </rPr>
      <t xml:space="preserve">" </t>
    </r>
    <r>
      <rPr>
        <i val="true"/>
        <sz val="9"/>
        <color rgb="FF555555"/>
        <rFont val="Noto Sans CJK SC"/>
        <family val="2"/>
      </rPr>
      <t xml:space="preserve">표와 </t>
    </r>
    <r>
      <rPr>
        <i val="true"/>
        <sz val="9"/>
        <color rgb="FF555555"/>
        <rFont val="Arial"/>
        <family val="0"/>
        <charset val="1"/>
      </rPr>
      <t xml:space="preserve">MBL</t>
    </r>
    <r>
      <rPr>
        <i val="true"/>
        <sz val="9"/>
        <color rgb="FF555555"/>
        <rFont val="Noto Sans CJK SC"/>
        <family val="2"/>
      </rPr>
      <t xml:space="preserve">짝비교 시트를 볼 것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</si>
  <si>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n</t>
  </si>
  <si>
    <t xml:space="preserve">평균</t>
  </si>
  <si>
    <t xml:space="preserve">중앙값</t>
  </si>
  <si>
    <t xml:space="preserve">최소</t>
  </si>
  <si>
    <t xml:space="preserve">최대</t>
  </si>
  <si>
    <r>
      <rPr>
        <b val="true"/>
        <sz val="10"/>
        <color rgb="FFFFFFFF"/>
        <rFont val="Noto Sans CJK SC"/>
        <family val="2"/>
      </rPr>
      <t xml:space="preserve">평균 </t>
    </r>
    <r>
      <rPr>
        <b val="true"/>
        <sz val="10"/>
        <color rgb="FFFFFFFF"/>
        <rFont val="Arial"/>
        <family val="0"/>
        <charset val="1"/>
      </rPr>
      <t xml:space="preserve">RMSE</t>
    </r>
  </si>
  <si>
    <t xml:space="preserve">메모</t>
  </si>
  <si>
    <r>
      <rPr>
        <b val="true"/>
        <sz val="10"/>
        <rFont val="Noto Sans CJK SC"/>
        <family val="2"/>
      </rPr>
      <t xml:space="preserve">고정 조건에서의 순수 효과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값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중앙값</t>
    </r>
    <r>
      <rPr>
        <b val="true"/>
        <sz val="10"/>
        <rFont val="Arial"/>
        <family val="0"/>
        <charset val="1"/>
      </rPr>
      <t xml:space="preserve">, n)</t>
    </r>
  </si>
  <si>
    <t xml:space="preserve">비교</t>
  </si>
  <si>
    <t xml:space="preserve">고정된 나머지 조건</t>
  </si>
  <si>
    <t xml:space="preserve">mbl −1.25, samples 3, center 0</t>
  </si>
  <si>
    <t xml:space="preserve">mbl @span0.7/sw0.7/fit0.6</t>
  </si>
  <si>
    <t xml:space="preserve">span 0.7, sweep 0.7, fit 0.6</t>
  </si>
  <si>
    <t xml:space="preserve">fit_half @span0.7/mbl−1.25</t>
  </si>
  <si>
    <t xml:space="preserve">span 0.7, sweep 0.7, mbl −1.25</t>
  </si>
  <si>
    <t xml:space="preserve">sweep_half @span0.7/mbl−1.75/fit0.6</t>
  </si>
  <si>
    <t xml:space="preserve">span 0.7, fit 0.6, mbl −1.75</t>
  </si>
  <si>
    <t xml:space="preserve">center_d @span0.7/mbl−1.25</t>
  </si>
  <si>
    <t xml:space="preserve">span 0.7, sweep 0.7, fit 0.6, mbl −1.25</t>
  </si>
  <si>
    <t xml:space="preserve">samples @span0.7/mbl−1.75</t>
  </si>
  <si>
    <t xml:space="preserve">span 0.7, sweep 0.7, fit 0.6, mbl −1.75</t>
  </si>
  <si>
    <r>
      <rPr>
        <b val="true"/>
        <sz val="13"/>
        <rFont val="Arial"/>
        <family val="0"/>
        <charset val="1"/>
      </rPr>
      <t xml:space="preserve">MBL </t>
    </r>
    <r>
      <rPr>
        <b val="true"/>
        <sz val="13"/>
        <rFont val="Noto Sans CJK SC"/>
        <family val="2"/>
      </rPr>
      <t xml:space="preserve">짝 비교 — 같은 질의 세트</t>
    </r>
    <r>
      <rPr>
        <b val="true"/>
        <sz val="13"/>
        <rFont val="Arial"/>
        <family val="0"/>
        <charset val="1"/>
      </rPr>
      <t xml:space="preserve">(seed)</t>
    </r>
    <r>
      <rPr>
        <b val="true"/>
        <sz val="13"/>
        <rFont val="Noto Sans CJK SC"/>
        <family val="2"/>
      </rPr>
      <t xml:space="preserve">로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수준 교대 </t>
    </r>
    <r>
      <rPr>
        <b val="true"/>
        <sz val="13"/>
        <rFont val="Arial"/>
        <family val="0"/>
        <charset val="1"/>
      </rPr>
      <t xml:space="preserve">×4</t>
    </r>
    <r>
      <rPr>
        <b val="true"/>
        <sz val="13"/>
        <rFont val="Noto Sans CJK SC"/>
        <family val="2"/>
      </rPr>
      <t xml:space="preserve">블록 </t>
    </r>
    <r>
      <rPr>
        <b val="true"/>
        <sz val="13"/>
        <rFont val="Arial"/>
        <family val="0"/>
        <charset val="1"/>
      </rPr>
      <t xml:space="preserve">(span 0.7 / sweep 0.7 / fit 0.6 / samples 3), 14:23~14:54</t>
    </r>
  </si>
  <si>
    <t xml:space="preserve">블록</t>
  </si>
  <si>
    <t xml:space="preserve">MBL −1.25</t>
  </si>
  <si>
    <t xml:space="preserve">MBL −1.5</t>
  </si>
  <si>
    <t xml:space="preserve">MBL −1.75</t>
  </si>
  <si>
    <t xml:space="preserve">MBL −2.0</t>
  </si>
  <si>
    <t xml:space="preserve">Δ(−1.5 − −1.25)</t>
  </si>
  <si>
    <t xml:space="preserve">Δ(−1.75 − −1.25)</t>
  </si>
  <si>
    <t xml:space="preserve">Δ(−2.0 − −1.25)</t>
  </si>
  <si>
    <t xml:space="preserve">noise (−1.25 / −1.5 / −1.75 / −2.0)</t>
  </si>
  <si>
    <t xml:space="preserve">7.0 / 9.7 / 9.1 / 11.5</t>
  </si>
  <si>
    <t xml:space="preserve">7.7 / 8.2 / 9.0 / 10.4</t>
  </si>
  <si>
    <t xml:space="preserve">6.3 / 7.6 / 8.7 / 10.8</t>
  </si>
  <si>
    <t xml:space="preserve">8.7 / 8.2 / 8.9 / 10.3</t>
  </si>
  <si>
    <r>
      <rPr>
        <i val="true"/>
        <sz val="9"/>
        <color rgb="FF555555"/>
        <rFont val="Noto Sans CJK SC"/>
        <family val="2"/>
      </rPr>
      <t xml:space="preserve">해석</t>
    </r>
    <r>
      <rPr>
        <i val="true"/>
        <sz val="9"/>
        <color rgb="FF555555"/>
        <rFont val="Arial"/>
        <family val="0"/>
        <charset val="1"/>
      </rPr>
      <t xml:space="preserve">: −1.5/−1.75 </t>
    </r>
    <r>
      <rPr>
        <i val="true"/>
        <sz val="9"/>
        <color rgb="FF555555"/>
        <rFont val="Noto Sans CJK SC"/>
        <family val="2"/>
      </rPr>
      <t xml:space="preserve">는 −</t>
    </r>
    <r>
      <rPr>
        <i val="true"/>
        <sz val="9"/>
        <color rgb="FF555555"/>
        <rFont val="Arial"/>
        <family val="0"/>
        <charset val="1"/>
      </rPr>
      <t xml:space="preserve">1.25 </t>
    </r>
    <r>
      <rPr>
        <i val="true"/>
        <sz val="9"/>
        <color rgb="FF555555"/>
        <rFont val="Noto Sans CJK SC"/>
        <family val="2"/>
      </rPr>
      <t xml:space="preserve">대비 </t>
    </r>
    <r>
      <rPr>
        <i val="true"/>
        <sz val="9"/>
        <color rgb="FF555555"/>
        <rFont val="Arial"/>
        <family val="0"/>
        <charset val="1"/>
      </rPr>
      <t xml:space="preserve">+0.003/+0.005 (4</t>
    </r>
    <r>
      <rPr>
        <i val="true"/>
        <sz val="9"/>
        <color rgb="FF555555"/>
        <rFont val="Noto Sans CJK SC"/>
        <family val="2"/>
      </rPr>
      <t xml:space="preserve">블록 중 </t>
    </r>
    <r>
      <rPr>
        <i val="true"/>
        <sz val="9"/>
        <color rgb="FF555555"/>
        <rFont val="Arial"/>
        <family val="0"/>
        <charset val="1"/>
      </rPr>
      <t xml:space="preserve">3~4</t>
    </r>
    <r>
      <rPr>
        <i val="true"/>
        <sz val="9"/>
        <color rgb="FF555555"/>
        <rFont val="Noto Sans CJK SC"/>
        <family val="2"/>
      </rPr>
      <t xml:space="preserve">블록 양수</t>
    </r>
    <r>
      <rPr>
        <i val="true"/>
        <sz val="9"/>
        <color rgb="FF555555"/>
        <rFont val="Arial"/>
        <family val="0"/>
        <charset val="1"/>
      </rPr>
      <t xml:space="preserve">). −2.0 </t>
    </r>
    <r>
      <rPr>
        <i val="true"/>
        <sz val="9"/>
        <color rgb="FF555555"/>
        <rFont val="Noto Sans CJK SC"/>
        <family val="2"/>
      </rPr>
      <t xml:space="preserve">은 블록 </t>
    </r>
    <r>
      <rPr>
        <i val="true"/>
        <sz val="9"/>
        <color rgb="FF555555"/>
        <rFont val="Arial"/>
        <family val="0"/>
        <charset val="1"/>
      </rPr>
      <t xml:space="preserve">1 </t>
    </r>
    <r>
      <rPr>
        <i val="true"/>
        <sz val="9"/>
        <color rgb="FF555555"/>
        <rFont val="Noto Sans CJK SC"/>
        <family val="2"/>
      </rPr>
      <t xml:space="preserve">에서 −</t>
    </r>
    <r>
      <rPr>
        <i val="true"/>
        <sz val="9"/>
        <color rgb="FF555555"/>
        <rFont val="Arial"/>
        <family val="0"/>
        <charset val="1"/>
      </rPr>
      <t xml:space="preserve">0.047 (noise 11.5) </t>
    </r>
    <r>
      <rPr>
        <i val="true"/>
        <sz val="9"/>
        <color rgb="FF555555"/>
        <rFont val="Noto Sans CJK SC"/>
        <family val="2"/>
      </rPr>
      <t xml:space="preserve">등 노이즈 증가로 손해</t>
    </r>
    <r>
      <rPr>
        <i val="true"/>
        <sz val="9"/>
        <color rgb="FF555555"/>
        <rFont val="Arial"/>
        <family val="0"/>
        <charset val="1"/>
      </rPr>
      <t xml:space="preserve">. κ </t>
    </r>
    <r>
      <rPr>
        <i val="true"/>
        <sz val="9"/>
        <color rgb="FF555555"/>
        <rFont val="Noto Sans CJK SC"/>
        <family val="2"/>
      </rPr>
      <t xml:space="preserve">는 </t>
    </r>
    <r>
      <rPr>
        <i val="true"/>
        <sz val="9"/>
        <color rgb="FF555555"/>
        <rFont val="Arial"/>
        <family val="0"/>
        <charset val="1"/>
      </rPr>
      <t xml:space="preserve">186 → 204 → 226 → 238 code/V².</t>
    </r>
  </si>
  <si>
    <t xml:space="preserve">MBL</t>
  </si>
  <si>
    <r>
      <rPr>
        <b val="true"/>
        <sz val="10"/>
        <color rgb="FFFFFFFF"/>
        <rFont val="Arial"/>
        <family val="0"/>
        <charset val="1"/>
      </rPr>
      <t xml:space="preserve">n(</t>
    </r>
    <r>
      <rPr>
        <b val="true"/>
        <sz val="10"/>
        <color rgb="FFFFFFFF"/>
        <rFont val="Noto Sans CJK SC"/>
        <family val="2"/>
      </rPr>
      <t xml:space="preserve">전체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</si>
  <si>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κ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</si>
  <si>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Noto Sans CJK SC"/>
        <family val="2"/>
      </rPr>
      <t xml:space="preserve">신호</t>
    </r>
    <r>
      <rPr>
        <b val="true"/>
        <sz val="10"/>
        <color rgb="FFFFFFFF"/>
        <rFont val="Arial"/>
        <family val="0"/>
        <charset val="1"/>
      </rPr>
      <t xml:space="preserve">σ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</si>
  <si>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RMSE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</si>
  <si>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headroom </t>
    </r>
    <r>
      <rPr>
        <b val="true"/>
        <sz val="10"/>
        <color rgb="FFFFFFFF"/>
        <rFont val="Noto Sans CJK SC"/>
        <family val="2"/>
      </rPr>
      <t xml:space="preserve">최소</t>
    </r>
  </si>
  <si>
    <r>
      <rPr>
        <b val="true"/>
        <sz val="10"/>
        <color rgb="FFFFFFFF"/>
        <rFont val="Arial"/>
        <family val="0"/>
        <charset val="1"/>
      </rPr>
      <t xml:space="preserve">depth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</si>
  <si>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noise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</si>
  <si>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sz val="10"/>
        <rFont val="Noto Sans CJK SC"/>
        <family val="2"/>
      </rPr>
      <t xml:space="preserve">전체 라운드 </t>
    </r>
    <r>
      <rPr>
        <sz val="10"/>
        <rFont val="Arial"/>
        <family val="0"/>
        <charset val="1"/>
      </rPr>
      <t xml:space="preserve">(span0.7/sw0.7/fit0.6/ns3)</t>
    </r>
  </si>
  <si>
    <t xml:space="preserve">rank</t>
  </si>
  <si>
    <t xml:space="preserve">median</t>
  </si>
  <si>
    <t xml:space="preserve">mean</t>
  </si>
  <si>
    <t xml:space="preserve">sd</t>
  </si>
  <si>
    <t xml:space="preserve">best</t>
  </si>
  <si>
    <t xml:space="preserve">worst</t>
  </si>
  <si>
    <t xml:space="preserve">kappa</t>
  </si>
  <si>
    <t xml:space="preserve">depth</t>
  </si>
  <si>
    <r>
      <rPr>
        <i val="true"/>
        <sz val="9"/>
        <color rgb="FF555555"/>
        <rFont val="Noto Sans CJK SC"/>
        <family val="2"/>
      </rPr>
      <t xml:space="preserve">중앙값 내림차순</t>
    </r>
    <r>
      <rPr>
        <i val="true"/>
        <sz val="9"/>
        <color rgb="FF555555"/>
        <rFont val="Arial"/>
        <family val="0"/>
        <charset val="1"/>
      </rPr>
      <t xml:space="preserve">. n=1 </t>
    </r>
    <r>
      <rPr>
        <i val="true"/>
        <sz val="9"/>
        <color rgb="FF555555"/>
        <rFont val="Noto Sans CJK SC"/>
        <family val="2"/>
      </rPr>
      <t xml:space="preserve">조건은 재현성 미확인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같은 조건 반복 산포</t>
    </r>
    <r>
      <rPr>
        <i val="true"/>
        <sz val="9"/>
        <color rgb="FF555555"/>
        <rFont val="Arial"/>
        <family val="0"/>
        <charset val="1"/>
      </rPr>
      <t xml:space="preserve">(sd) ≈ 0.005~0.02 (noise </t>
    </r>
    <r>
      <rPr>
        <i val="true"/>
        <sz val="9"/>
        <color rgb="FF555555"/>
        <rFont val="Noto Sans CJK SC"/>
        <family val="2"/>
      </rPr>
      <t xml:space="preserve">구간에 따라</t>
    </r>
    <r>
      <rPr>
        <i val="true"/>
        <sz val="9"/>
        <color rgb="FF555555"/>
        <rFont val="Arial"/>
        <family val="0"/>
        <charset val="1"/>
      </rPr>
      <t xml:space="preserve">).</t>
    </r>
  </si>
  <si>
    <t xml:space="preserve">cond</t>
  </si>
  <si>
    <t xml:space="preserve">cell</t>
  </si>
  <si>
    <t xml:space="preserve">row</t>
  </si>
  <si>
    <t xml:space="preserve">col</t>
  </si>
  <si>
    <t xml:space="preserve">v0</t>
  </si>
  <si>
    <t xml:space="preserve">se_v</t>
  </si>
  <si>
    <t xml:space="preserve">m_code</t>
  </si>
  <si>
    <t xml:space="preserve">p_exp</t>
  </si>
  <si>
    <t xml:space="preserve">asym</t>
  </si>
  <si>
    <t xml:space="preserve">pt_sd</t>
  </si>
  <si>
    <t xml:space="preserve">n_pts</t>
  </si>
  <si>
    <t xml:space="preserve">read_v</t>
  </si>
  <si>
    <t xml:space="preserve">center_v</t>
  </si>
  <si>
    <t xml:space="preserve">10:01:34</t>
  </si>
  <si>
    <t xml:space="preserve">mbl-1.25_C-0.93_span0.50_ns3</t>
  </si>
  <si>
    <t xml:space="preserve">R0C0</t>
  </si>
  <si>
    <t xml:space="preserve">R1C0</t>
  </si>
  <si>
    <t xml:space="preserve">10:01:58</t>
  </si>
  <si>
    <t xml:space="preserve">R0C1</t>
  </si>
  <si>
    <t xml:space="preserve">R1C1</t>
  </si>
  <si>
    <t xml:space="preserve">10:05:30</t>
  </si>
  <si>
    <t xml:space="preserve">mbl-1.25_C-0.93_span0.60_ns3</t>
  </si>
  <si>
    <t xml:space="preserve">10:06:35</t>
  </si>
  <si>
    <t xml:space="preserve">10:07:57</t>
  </si>
  <si>
    <t xml:space="preserve">mbl-1.25_C-0.93_span0.70_ns3</t>
  </si>
  <si>
    <t xml:space="preserve">10:08:26</t>
  </si>
  <si>
    <t xml:space="preserve">10:10:37</t>
  </si>
  <si>
    <t xml:space="preserve">mbl-1.50_C-0.93_span0.50_ns3</t>
  </si>
  <si>
    <t xml:space="preserve">10:11:27</t>
  </si>
  <si>
    <t xml:space="preserve">10:12:55</t>
  </si>
  <si>
    <t xml:space="preserve">mbl-1.50_C-0.93_span0.60_ns3</t>
  </si>
  <si>
    <t xml:space="preserve">10:13:26</t>
  </si>
  <si>
    <t xml:space="preserve">10:15:39</t>
  </si>
  <si>
    <t xml:space="preserve">mbl-1.25_C-1.13_span0.50_ns3</t>
  </si>
  <si>
    <t xml:space="preserve">10:16:27</t>
  </si>
  <si>
    <t xml:space="preserve">10:18:21</t>
  </si>
  <si>
    <t xml:space="preserve">mbl-1.25_C-0.83_span0.50_ns3</t>
  </si>
  <si>
    <t xml:space="preserve">10:19:11</t>
  </si>
  <si>
    <t xml:space="preserve">10:19:52</t>
  </si>
  <si>
    <t xml:space="preserve">10:20:18</t>
  </si>
  <si>
    <t xml:space="preserve">10:24:36</t>
  </si>
  <si>
    <t xml:space="preserve">10:25:01</t>
  </si>
  <si>
    <t xml:space="preserve">10:25:58</t>
  </si>
  <si>
    <t xml:space="preserve">mbl-1.00_C-0.93_span0.50_ns3</t>
  </si>
  <si>
    <t xml:space="preserve">10:26:50</t>
  </si>
  <si>
    <t xml:space="preserve">10:29:05</t>
  </si>
  <si>
    <t xml:space="preserve">mbl-1.25_C-0.93_span0.75_ns3</t>
  </si>
  <si>
    <t xml:space="preserve">10:30:22</t>
  </si>
  <si>
    <t xml:space="preserve">10:32:48</t>
  </si>
  <si>
    <t xml:space="preserve">10:33:56</t>
  </si>
  <si>
    <t xml:space="preserve">10:35:06</t>
  </si>
  <si>
    <t xml:space="preserve">10:35:31</t>
  </si>
  <si>
    <t xml:space="preserve">10:36:25</t>
  </si>
  <si>
    <t xml:space="preserve">mbl-1.25_C-0.93_span0.40_ns3</t>
  </si>
  <si>
    <t xml:space="preserve">10:37:04</t>
  </si>
  <si>
    <t xml:space="preserve">10:39:15</t>
  </si>
  <si>
    <t xml:space="preserve">10:40:06</t>
  </si>
  <si>
    <t xml:space="preserve">10:41:00</t>
  </si>
  <si>
    <t xml:space="preserve">10:41:24</t>
  </si>
  <si>
    <t xml:space="preserve">10:43:27</t>
  </si>
  <si>
    <t xml:space="preserve">10:44:32</t>
  </si>
  <si>
    <t xml:space="preserve">10:46:28</t>
  </si>
  <si>
    <t xml:space="preserve">mbl-1.25_C-1.03_span0.50_ns3</t>
  </si>
  <si>
    <t xml:space="preserve">10:47:18</t>
  </si>
  <si>
    <t xml:space="preserve">10:48:33</t>
  </si>
  <si>
    <t xml:space="preserve">10:49:35</t>
  </si>
  <si>
    <t xml:space="preserve">10:50:18</t>
  </si>
  <si>
    <t xml:space="preserve">10:51:09</t>
  </si>
  <si>
    <t xml:space="preserve">10:53:37</t>
  </si>
  <si>
    <t xml:space="preserve">10:54:45</t>
  </si>
  <si>
    <t xml:space="preserve">10:57:04</t>
  </si>
  <si>
    <t xml:space="preserve">10:57:32</t>
  </si>
  <si>
    <t xml:space="preserve">10:58:51</t>
  </si>
  <si>
    <t xml:space="preserve">10:59:55</t>
  </si>
  <si>
    <t xml:space="preserve">11:00:39</t>
  </si>
  <si>
    <t xml:space="preserve">11:01:22</t>
  </si>
  <si>
    <t xml:space="preserve">11:03:24</t>
  </si>
  <si>
    <t xml:space="preserve">11:04:19</t>
  </si>
  <si>
    <t xml:space="preserve">11:06:35</t>
  </si>
  <si>
    <t xml:space="preserve">11:07:20</t>
  </si>
  <si>
    <t xml:space="preserve">11:08:34</t>
  </si>
  <si>
    <t xml:space="preserve">11:09:32</t>
  </si>
  <si>
    <t xml:space="preserve">11:10:48</t>
  </si>
  <si>
    <t xml:space="preserve">11:11:29</t>
  </si>
  <si>
    <t xml:space="preserve">11:12:32</t>
  </si>
  <si>
    <t xml:space="preserve">11:13:29</t>
  </si>
  <si>
    <t xml:space="preserve">11:14:44</t>
  </si>
  <si>
    <t xml:space="preserve">11:15:42</t>
  </si>
  <si>
    <t xml:space="preserve">11:16:31</t>
  </si>
  <si>
    <t xml:space="preserve">11:17:34</t>
  </si>
  <si>
    <t xml:space="preserve">11:18:38</t>
  </si>
  <si>
    <t xml:space="preserve">11:19:08</t>
  </si>
  <si>
    <t xml:space="preserve">11:20:32</t>
  </si>
  <si>
    <t xml:space="preserve">11:21:03</t>
  </si>
  <si>
    <t xml:space="preserve">11:22:40</t>
  </si>
  <si>
    <t xml:space="preserve">11:23:12</t>
  </si>
  <si>
    <t xml:space="preserve">11:24:02</t>
  </si>
  <si>
    <t xml:space="preserve">11:25:20</t>
  </si>
  <si>
    <t xml:space="preserve">11:27:30</t>
  </si>
  <si>
    <t xml:space="preserve">11:28:38</t>
  </si>
  <si>
    <t xml:space="preserve">11:32:04</t>
  </si>
  <si>
    <t xml:space="preserve">mbl-1.50_C-0.93_span0.70_ns3</t>
  </si>
  <si>
    <t xml:space="preserve">11:33:12</t>
  </si>
  <si>
    <t xml:space="preserve">11:33:57</t>
  </si>
  <si>
    <t xml:space="preserve">11:34:45</t>
  </si>
  <si>
    <t xml:space="preserve">11:35:55</t>
  </si>
  <si>
    <t xml:space="preserve">11:36:27</t>
  </si>
  <si>
    <t xml:space="preserve">11:40:58</t>
  </si>
  <si>
    <t xml:space="preserve">11:42:04</t>
  </si>
  <si>
    <t xml:space="preserve">11:44:33</t>
  </si>
  <si>
    <t xml:space="preserve">11:45:38</t>
  </si>
  <si>
    <t xml:space="preserve">11:50:08</t>
  </si>
  <si>
    <t xml:space="preserve">mbl-1.25_C-1.03_span0.70_ns3</t>
  </si>
  <si>
    <t xml:space="preserve">11:50:55</t>
  </si>
  <si>
    <t xml:space="preserve">11:51:39</t>
  </si>
  <si>
    <t xml:space="preserve">11:52:20</t>
  </si>
  <si>
    <t xml:space="preserve">11:53:23</t>
  </si>
  <si>
    <t xml:space="preserve">11:54:29</t>
  </si>
  <si>
    <t xml:space="preserve">11:55:35</t>
  </si>
  <si>
    <t xml:space="preserve">11:56:44</t>
  </si>
  <si>
    <t xml:space="preserve">11:57:30</t>
  </si>
  <si>
    <t xml:space="preserve">mbl-1.25_C-0.83_span0.70_ns3</t>
  </si>
  <si>
    <t xml:space="preserve">11:58:32</t>
  </si>
  <si>
    <t xml:space="preserve">11:59:18</t>
  </si>
  <si>
    <t xml:space="preserve">12:00:23</t>
  </si>
  <si>
    <t xml:space="preserve">12:02:12</t>
  </si>
  <si>
    <t xml:space="preserve">12:03:19</t>
  </si>
  <si>
    <t xml:space="preserve">12:06:55</t>
  </si>
  <si>
    <t xml:space="preserve">12:07:27</t>
  </si>
  <si>
    <t xml:space="preserve">12:08:15</t>
  </si>
  <si>
    <t xml:space="preserve">12:09:01</t>
  </si>
  <si>
    <t xml:space="preserve">12:12:31</t>
  </si>
  <si>
    <t xml:space="preserve">12:13:34</t>
  </si>
  <si>
    <t xml:space="preserve">12:15:39</t>
  </si>
  <si>
    <t xml:space="preserve">12:16:42</t>
  </si>
  <si>
    <t xml:space="preserve">12:18:12</t>
  </si>
  <si>
    <t xml:space="preserve">12:19:19</t>
  </si>
  <si>
    <t xml:space="preserve">12:20:10</t>
  </si>
  <si>
    <t xml:space="preserve">12:20:43</t>
  </si>
  <si>
    <t xml:space="preserve">12:21:51</t>
  </si>
  <si>
    <t xml:space="preserve">12:22:19</t>
  </si>
  <si>
    <t xml:space="preserve">12:23:41</t>
  </si>
  <si>
    <t xml:space="preserve">12:24:27</t>
  </si>
  <si>
    <t xml:space="preserve">12:26:00</t>
  </si>
  <si>
    <t xml:space="preserve">12:27:13</t>
  </si>
  <si>
    <t xml:space="preserve">12:28:22</t>
  </si>
  <si>
    <t xml:space="preserve">12:28:54</t>
  </si>
  <si>
    <t xml:space="preserve">12:30:16</t>
  </si>
  <si>
    <t xml:space="preserve">12:30:43</t>
  </si>
  <si>
    <t xml:space="preserve">12:31:27</t>
  </si>
  <si>
    <t xml:space="preserve">12:32:29</t>
  </si>
  <si>
    <t xml:space="preserve">12:34:05</t>
  </si>
  <si>
    <t xml:space="preserve">12:35:17</t>
  </si>
  <si>
    <t xml:space="preserve">12:36:26</t>
  </si>
  <si>
    <t xml:space="preserve">12:36:59</t>
  </si>
  <si>
    <t xml:space="preserve">12:38:23</t>
  </si>
  <si>
    <t xml:space="preserve">12:39:13</t>
  </si>
  <si>
    <t xml:space="preserve">12:40:36</t>
  </si>
  <si>
    <t xml:space="preserve">mbl-1.75_C-0.93_span0.70_ns3</t>
  </si>
  <si>
    <t xml:space="preserve">12:41:05</t>
  </si>
  <si>
    <t xml:space="preserve">12:42:34</t>
  </si>
  <si>
    <t xml:space="preserve">mbl-1.50_C-0.93_span0.75_ns3</t>
  </si>
  <si>
    <t xml:space="preserve">12:43:45</t>
  </si>
  <si>
    <t xml:space="preserve">12:44:54</t>
  </si>
  <si>
    <t xml:space="preserve">12:46:04</t>
  </si>
  <si>
    <t xml:space="preserve">12:47:52</t>
  </si>
  <si>
    <t xml:space="preserve">12:48:43</t>
  </si>
  <si>
    <t xml:space="preserve">12:49:48</t>
  </si>
  <si>
    <t xml:space="preserve">12:50:54</t>
  </si>
  <si>
    <t xml:space="preserve">12:52:24</t>
  </si>
  <si>
    <t xml:space="preserve">12:53:37</t>
  </si>
  <si>
    <t xml:space="preserve">12:54:24</t>
  </si>
  <si>
    <t xml:space="preserve">12:55:28</t>
  </si>
  <si>
    <t xml:space="preserve">12:56:31</t>
  </si>
  <si>
    <t xml:space="preserve">12:57:39</t>
  </si>
  <si>
    <t xml:space="preserve">12:58:47</t>
  </si>
  <si>
    <t xml:space="preserve">13:00:01</t>
  </si>
  <si>
    <t xml:space="preserve">13:01:23</t>
  </si>
  <si>
    <t xml:space="preserve">13:01:52</t>
  </si>
  <si>
    <t xml:space="preserve">13:02:41</t>
  </si>
  <si>
    <t xml:space="preserve">13:03:52</t>
  </si>
  <si>
    <t xml:space="preserve">13:04:38</t>
  </si>
  <si>
    <t xml:space="preserve">13:05:43</t>
  </si>
  <si>
    <t xml:space="preserve">13:08:05</t>
  </si>
  <si>
    <t xml:space="preserve">13:09:08</t>
  </si>
  <si>
    <t xml:space="preserve">13:10:29</t>
  </si>
  <si>
    <t xml:space="preserve">13:11:35</t>
  </si>
  <si>
    <t xml:space="preserve">13:12:22</t>
  </si>
  <si>
    <t xml:space="preserve">13:13:26</t>
  </si>
  <si>
    <t xml:space="preserve">13:14:49</t>
  </si>
  <si>
    <t xml:space="preserve">13:15:54</t>
  </si>
  <si>
    <t xml:space="preserve">13:18:01</t>
  </si>
  <si>
    <t xml:space="preserve">13:19:09</t>
  </si>
  <si>
    <t xml:space="preserve">13:20:23</t>
  </si>
  <si>
    <t xml:space="preserve">13:20:51</t>
  </si>
  <si>
    <t xml:space="preserve">13:23:16</t>
  </si>
  <si>
    <t xml:space="preserve">mbl-2.00_C-0.93_span0.70_ns3</t>
  </si>
  <si>
    <t xml:space="preserve">13:23:44</t>
  </si>
  <si>
    <t xml:space="preserve">13:25:07</t>
  </si>
  <si>
    <t xml:space="preserve">13:25:35</t>
  </si>
  <si>
    <t xml:space="preserve">13:26:45</t>
  </si>
  <si>
    <t xml:space="preserve">13:27:17</t>
  </si>
  <si>
    <t xml:space="preserve">13:31:08</t>
  </si>
  <si>
    <t xml:space="preserve">13:32:13</t>
  </si>
  <si>
    <t xml:space="preserve">13:33:36</t>
  </si>
  <si>
    <t xml:space="preserve">13:34:41</t>
  </si>
  <si>
    <t xml:space="preserve">13:37:48</t>
  </si>
  <si>
    <t xml:space="preserve">13:38:17</t>
  </si>
  <si>
    <t xml:space="preserve">13:39:26</t>
  </si>
  <si>
    <t xml:space="preserve">13:40:42</t>
  </si>
  <si>
    <t xml:space="preserve">13:42:07</t>
  </si>
  <si>
    <t xml:space="preserve">13:42:35</t>
  </si>
  <si>
    <t xml:space="preserve">13:44:00</t>
  </si>
  <si>
    <t xml:space="preserve">13:45:02</t>
  </si>
  <si>
    <t xml:space="preserve">13:46:33</t>
  </si>
  <si>
    <t xml:space="preserve">mbl-1.75_C-0.93_span0.75_ns3</t>
  </si>
  <si>
    <t xml:space="preserve">13:47:46</t>
  </si>
  <si>
    <t xml:space="preserve">13:48:32</t>
  </si>
  <si>
    <t xml:space="preserve">13:49:38</t>
  </si>
  <si>
    <t xml:space="preserve">13:51:08</t>
  </si>
  <si>
    <t xml:space="preserve">13:52:20</t>
  </si>
  <si>
    <t xml:space="preserve">13:55:30</t>
  </si>
  <si>
    <t xml:space="preserve">13:56:41</t>
  </si>
  <si>
    <t xml:space="preserve">13:57:27</t>
  </si>
  <si>
    <t xml:space="preserve">13:57:56</t>
  </si>
  <si>
    <t xml:space="preserve">13:58:43</t>
  </si>
  <si>
    <t xml:space="preserve">13:59:47</t>
  </si>
  <si>
    <t xml:space="preserve">14:01:16</t>
  </si>
  <si>
    <t xml:space="preserve">14:02:24</t>
  </si>
  <si>
    <t xml:space="preserve">14:03:33</t>
  </si>
  <si>
    <t xml:space="preserve">14:04:01</t>
  </si>
  <si>
    <t xml:space="preserve">14:05:11</t>
  </si>
  <si>
    <t xml:space="preserve">14:06:26</t>
  </si>
  <si>
    <t xml:space="preserve">14:07:14</t>
  </si>
  <si>
    <t xml:space="preserve">14:08:23</t>
  </si>
  <si>
    <t xml:space="preserve">14:09:13</t>
  </si>
  <si>
    <t xml:space="preserve">14:10:20</t>
  </si>
  <si>
    <t xml:space="preserve">14:10:21</t>
  </si>
  <si>
    <t xml:space="preserve">14:11:49</t>
  </si>
  <si>
    <t xml:space="preserve">14:12:39</t>
  </si>
  <si>
    <t xml:space="preserve">14:14:03</t>
  </si>
  <si>
    <t xml:space="preserve">14:14:49</t>
  </si>
  <si>
    <t xml:space="preserve">14:15:58</t>
  </si>
  <si>
    <t xml:space="preserve">14:16:31</t>
  </si>
  <si>
    <t xml:space="preserve">14:18:58</t>
  </si>
  <si>
    <t xml:space="preserve">14:19:46</t>
  </si>
  <si>
    <t xml:space="preserve">14:22:13</t>
  </si>
  <si>
    <t xml:space="preserve">mbl-2.00_C-0.93_span0.75_ns3</t>
  </si>
  <si>
    <t xml:space="preserve">14:23:01</t>
  </si>
  <si>
    <t xml:space="preserve">14:24:24</t>
  </si>
  <si>
    <t xml:space="preserve">14:25:13</t>
  </si>
  <si>
    <t xml:space="preserve">14:26:35</t>
  </si>
  <si>
    <t xml:space="preserve">14:27:41</t>
  </si>
  <si>
    <t xml:space="preserve">14:28:28</t>
  </si>
  <si>
    <t xml:space="preserve">14:29:12</t>
  </si>
  <si>
    <t xml:space="preserve">14:30:36</t>
  </si>
  <si>
    <t xml:space="preserve">14:31:05</t>
  </si>
  <si>
    <t xml:space="preserve">14:32:12</t>
  </si>
  <si>
    <t xml:space="preserve">14:32:41</t>
  </si>
  <si>
    <t xml:space="preserve">14:34:48</t>
  </si>
  <si>
    <t xml:space="preserve">14:35:54</t>
  </si>
  <si>
    <t xml:space="preserve">14:37:17</t>
  </si>
  <si>
    <t xml:space="preserve">14:38:25</t>
  </si>
  <si>
    <t xml:space="preserve">14:39:13</t>
  </si>
  <si>
    <t xml:space="preserve">14:39:41</t>
  </si>
  <si>
    <t xml:space="preserve">14:40:28</t>
  </si>
  <si>
    <t xml:space="preserve">14:41:35</t>
  </si>
  <si>
    <t xml:space="preserve">14:42:21</t>
  </si>
  <si>
    <t xml:space="preserve">14:43:28</t>
  </si>
  <si>
    <t xml:space="preserve">14:44:15</t>
  </si>
  <si>
    <t xml:space="preserve">14:44:45</t>
  </si>
  <si>
    <t xml:space="preserve">14:48:13</t>
  </si>
  <si>
    <t xml:space="preserve">14:49:20</t>
  </si>
  <si>
    <t xml:space="preserve">14:50:44</t>
  </si>
  <si>
    <t xml:space="preserve">14:51:15</t>
  </si>
  <si>
    <t xml:space="preserve">14:52:02</t>
  </si>
  <si>
    <t xml:space="preserve">14:52:31</t>
  </si>
  <si>
    <t xml:space="preserve">14:53:24</t>
  </si>
  <si>
    <t xml:space="preserve">14:53:54</t>
  </si>
  <si>
    <t xml:space="preserve">14:54:58</t>
  </si>
  <si>
    <t xml:space="preserve">14:55:27</t>
  </si>
  <si>
    <t xml:space="preserve">14:56:14</t>
  </si>
  <si>
    <t xml:space="preserve">14:56:44</t>
  </si>
  <si>
    <t xml:space="preserve">14:57:47</t>
  </si>
  <si>
    <t xml:space="preserve">mbl-1.75_C-0.93_span0.70_ns1</t>
  </si>
  <si>
    <t xml:space="preserve">14:58:15</t>
  </si>
  <si>
    <t xml:space="preserve">14:59:19</t>
  </si>
  <si>
    <t xml:space="preserve">mbl-1.75_C-0.93_span0.70_ns6</t>
  </si>
  <si>
    <t xml:space="preserve">15:00:29</t>
  </si>
  <si>
    <t xml:space="preserve">15:01:22</t>
  </si>
  <si>
    <t xml:space="preserve">15:01:52</t>
  </si>
  <si>
    <t xml:space="preserve">15:03:20</t>
  </si>
  <si>
    <t xml:space="preserve">15:04:27</t>
  </si>
  <si>
    <t xml:space="preserve">15:05:13</t>
  </si>
  <si>
    <t xml:space="preserve">15:05:43</t>
  </si>
  <si>
    <t xml:space="preserve">15:07:57</t>
  </si>
  <si>
    <t xml:space="preserve">15:09:02</t>
  </si>
  <si>
    <t xml:space="preserve">15:10:27</t>
  </si>
  <si>
    <t xml:space="preserve">15:11:16</t>
  </si>
  <si>
    <t xml:space="preserve">15:12:03</t>
  </si>
  <si>
    <t xml:space="preserve">mbl-2.00_C-0.93_span0.70_ns1</t>
  </si>
  <si>
    <t xml:space="preserve">15:12:52</t>
  </si>
  <si>
    <t xml:space="preserve">15:14:11</t>
  </si>
  <si>
    <t xml:space="preserve">mbl-1.50_C-0.93_span0.70_ns1</t>
  </si>
  <si>
    <t xml:space="preserve">15:15:18</t>
  </si>
  <si>
    <t xml:space="preserve">15:16:43</t>
  </si>
  <si>
    <t xml:space="preserve">15:17:52</t>
  </si>
  <si>
    <t xml:space="preserve">15:18:35</t>
  </si>
  <si>
    <t xml:space="preserve">15:19:04</t>
  </si>
  <si>
    <t xml:space="preserve">15:20:23</t>
  </si>
  <si>
    <t xml:space="preserve">15:20:53</t>
  </si>
  <si>
    <t xml:space="preserve">15:21:40</t>
  </si>
  <si>
    <t xml:space="preserve">15:22:30</t>
  </si>
  <si>
    <t xml:space="preserve">15:23:47</t>
  </si>
  <si>
    <t xml:space="preserve">15:24:53</t>
  </si>
  <si>
    <t xml:space="preserve">15:27:39</t>
  </si>
  <si>
    <t xml:space="preserve">15:28:47</t>
  </si>
  <si>
    <r>
      <rPr>
        <i val="true"/>
        <sz val="9"/>
        <color rgb="FF555555"/>
        <rFont val="Noto Sans CJK SC"/>
        <family val="2"/>
      </rPr>
      <t xml:space="preserve">라운드별 </t>
    </r>
    <r>
      <rPr>
        <i val="true"/>
        <sz val="9"/>
        <color rgb="FF555555"/>
        <rFont val="Arial"/>
        <family val="0"/>
        <charset val="1"/>
      </rPr>
      <t xml:space="preserve">4</t>
    </r>
    <r>
      <rPr>
        <i val="true"/>
        <sz val="9"/>
        <color rgb="FF555555"/>
        <rFont val="Noto Sans CJK SC"/>
        <family val="2"/>
      </rPr>
      <t xml:space="preserve">셀 교정값</t>
    </r>
    <r>
      <rPr>
        <i val="true"/>
        <sz val="9"/>
        <color rgb="FF555555"/>
        <rFont val="Arial"/>
        <family val="0"/>
        <charset val="1"/>
      </rPr>
      <t xml:space="preserve">. v0 </t>
    </r>
    <r>
      <rPr>
        <i val="true"/>
        <sz val="9"/>
        <color rgb="FF555555"/>
        <rFont val="Noto Sans CJK SC"/>
        <family val="2"/>
      </rPr>
      <t xml:space="preserve">는 </t>
    </r>
    <r>
      <rPr>
        <i val="true"/>
        <sz val="9"/>
        <color rgb="FF555555"/>
        <rFont val="Arial"/>
        <family val="0"/>
        <charset val="1"/>
      </rPr>
      <t xml:space="preserve">C </t>
    </r>
    <r>
      <rPr>
        <i val="true"/>
        <sz val="9"/>
        <color rgb="FF555555"/>
        <rFont val="Noto Sans CJK SC"/>
        <family val="2"/>
      </rPr>
      <t xml:space="preserve">기준 노치 위치</t>
    </r>
    <r>
      <rPr>
        <i val="true"/>
        <sz val="9"/>
        <color rgb="FF555555"/>
        <rFont val="Arial"/>
        <family val="0"/>
        <charset val="1"/>
      </rPr>
      <t xml:space="preserve">[V], κ [code/V²], m_code </t>
    </r>
    <r>
      <rPr>
        <i val="true"/>
        <sz val="9"/>
        <color rgb="FF555555"/>
        <rFont val="Noto Sans CJK SC"/>
        <family val="2"/>
      </rPr>
      <t xml:space="preserve">는 노치 바닥 </t>
    </r>
    <r>
      <rPr>
        <i val="true"/>
        <sz val="9"/>
        <color rgb="FF555555"/>
        <rFont val="Arial"/>
        <family val="0"/>
        <charset val="1"/>
      </rPr>
      <t xml:space="preserve">code, p_exp </t>
    </r>
    <r>
      <rPr>
        <i val="true"/>
        <sz val="9"/>
        <color rgb="FF555555"/>
        <rFont val="Noto Sans CJK SC"/>
        <family val="2"/>
      </rPr>
      <t xml:space="preserve">는 팔 지수</t>
    </r>
    <r>
      <rPr>
        <i val="true"/>
        <sz val="9"/>
        <color rgb="FF555555"/>
        <rFont val="Arial"/>
        <family val="0"/>
        <charset val="1"/>
      </rPr>
      <t xml:space="preserve">(2 </t>
    </r>
    <r>
      <rPr>
        <i val="true"/>
        <sz val="9"/>
        <color rgb="FF555555"/>
        <rFont val="Noto Sans CJK SC"/>
        <family val="2"/>
      </rPr>
      <t xml:space="preserve">이면 </t>
    </r>
    <r>
      <rPr>
        <i val="true"/>
        <sz val="9"/>
        <color rgb="FF555555"/>
        <rFont val="Arial"/>
        <family val="0"/>
        <charset val="1"/>
      </rPr>
      <t xml:space="preserve">2</t>
    </r>
    <r>
      <rPr>
        <i val="true"/>
        <sz val="9"/>
        <color rgb="FF555555"/>
        <rFont val="Noto Sans CJK SC"/>
        <family val="2"/>
      </rPr>
      <t xml:space="preserve">차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Noto Sans CJK SC"/>
        <family val="2"/>
      </rPr>
      <t xml:space="preserve">하루 동안 </t>
    </r>
    <r>
      <rPr>
        <i val="true"/>
        <sz val="9"/>
        <color rgb="FF555555"/>
        <rFont val="Arial"/>
        <family val="0"/>
        <charset val="1"/>
      </rPr>
      <t xml:space="preserve">v0 </t>
    </r>
    <r>
      <rPr>
        <i val="true"/>
        <sz val="9"/>
        <color rgb="FF555555"/>
        <rFont val="Noto Sans CJK SC"/>
        <family val="2"/>
      </rPr>
      <t xml:space="preserve">드리프트</t>
    </r>
    <r>
      <rPr>
        <i val="true"/>
        <sz val="9"/>
        <color rgb="FF555555"/>
        <rFont val="Arial"/>
        <family val="0"/>
        <charset val="1"/>
      </rPr>
      <t xml:space="preserve">·κ </t>
    </r>
    <r>
      <rPr>
        <i val="true"/>
        <sz val="9"/>
        <color rgb="FF555555"/>
        <rFont val="Noto Sans CJK SC"/>
        <family val="2"/>
      </rPr>
      <t xml:space="preserve">안정성 플롯용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</si>
  <si>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라운드 </t>
    </r>
    <r>
      <rPr>
        <b val="true"/>
        <sz val="10"/>
        <rFont val="Arial"/>
        <family val="0"/>
        <charset val="1"/>
      </rPr>
      <t xml:space="preserve">64 (12:39:30) — span 0.7 / MBL -1.75 / C -0.93 / sweep 0.7 / fit 0.6 / samples 3 → score 0.9902, 2</t>
    </r>
    <r>
      <rPr>
        <b val="true"/>
        <sz val="10"/>
        <rFont val="Noto Sans CJK SC"/>
        <family val="2"/>
      </rPr>
      <t xml:space="preserve">차 </t>
    </r>
    <r>
      <rPr>
        <b val="true"/>
        <sz val="10"/>
        <rFont val="Arial"/>
        <family val="0"/>
        <charset val="1"/>
      </rPr>
      <t xml:space="preserve">R² 0.990/0.991, RMSE 4.8, noise 9.0</t>
    </r>
  </si>
  <si>
    <t xml:space="preserve">q</t>
  </si>
  <si>
    <t xml:space="preserve">x0 [V]</t>
  </si>
  <si>
    <t xml:space="preserve">x1 [V]</t>
  </si>
  <si>
    <r>
      <rPr>
        <b val="true"/>
        <sz val="10"/>
        <color rgb="FFFFFFFF"/>
        <rFont val="Arial"/>
        <family val="0"/>
        <charset val="1"/>
      </rPr>
      <t xml:space="preserve">code </t>
    </r>
    <r>
      <rPr>
        <b val="true"/>
        <sz val="10"/>
        <color rgb="FFFFFFFF"/>
        <rFont val="Noto Sans CJK SC"/>
        <family val="2"/>
      </rPr>
      <t xml:space="preserve">측정</t>
    </r>
  </si>
  <si>
    <r>
      <rPr>
        <b val="true"/>
        <sz val="10"/>
        <color rgb="FFFFFFFF"/>
        <rFont val="Arial"/>
        <family val="0"/>
        <charset val="1"/>
      </rPr>
      <t xml:space="preserve">code </t>
    </r>
    <r>
      <rPr>
        <b val="true"/>
        <sz val="10"/>
        <color rgb="FFFFFFFF"/>
        <rFont val="Noto Sans CJK SC"/>
        <family val="2"/>
      </rPr>
      <t xml:space="preserve">예측</t>
    </r>
    <r>
      <rPr>
        <b val="true"/>
        <sz val="10"/>
        <color rgb="FFFFFFFF"/>
        <rFont val="Arial"/>
        <family val="0"/>
        <charset val="1"/>
      </rPr>
      <t xml:space="preserve">(2</t>
    </r>
    <r>
      <rPr>
        <b val="true"/>
        <sz val="10"/>
        <color rgb="FFFFFFFF"/>
        <rFont val="Noto Sans CJK SC"/>
        <family val="2"/>
      </rPr>
      <t xml:space="preserve">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</si>
  <si>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잔차</t>
  </si>
  <si>
    <r>
      <rPr>
        <b val="true"/>
        <sz val="10"/>
        <color rgb="FFFFFFFF"/>
        <rFont val="Arial"/>
        <family val="0"/>
        <charset val="1"/>
      </rPr>
      <t xml:space="preserve">code </t>
    </r>
    <r>
      <rPr>
        <b val="true"/>
        <sz val="10"/>
        <color rgb="FFFFFFFF"/>
        <rFont val="Noto Sans CJK SC"/>
        <family val="2"/>
      </rPr>
      <t xml:space="preserve">예측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곡선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</si>
  <si>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잔차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곡선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</si>
  <si>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excess </t>
    </r>
    <r>
      <rPr>
        <b val="true"/>
        <sz val="10"/>
        <color rgb="FFFFFFFF"/>
        <rFont val="Noto Sans CJK SC"/>
        <family val="2"/>
      </rPr>
      <t xml:space="preserve">측정</t>
    </r>
  </si>
  <si>
    <r>
      <rPr>
        <b val="true"/>
        <sz val="10"/>
        <color rgb="FFFFFFFF"/>
        <rFont val="Arial"/>
        <family val="0"/>
        <charset val="1"/>
      </rPr>
      <t xml:space="preserve">excess </t>
    </r>
    <r>
      <rPr>
        <b val="true"/>
        <sz val="10"/>
        <color rgb="FFFFFFFF"/>
        <rFont val="Noto Sans CJK SC"/>
        <family val="2"/>
      </rPr>
      <t xml:space="preserve">예측</t>
    </r>
  </si>
  <si>
    <t xml:space="preserve">D_cal [V²]</t>
  </si>
  <si>
    <r>
      <rPr>
        <b val="true"/>
        <sz val="10"/>
        <color rgb="FFFFFFFF"/>
        <rFont val="Noto Sans CJK SC"/>
        <family val="2"/>
      </rPr>
      <t xml:space="preserve">샘플 </t>
    </r>
    <r>
      <rPr>
        <b val="true"/>
        <sz val="10"/>
        <color rgb="FFFFFFFF"/>
        <rFont val="Arial"/>
        <family val="0"/>
        <charset val="1"/>
      </rPr>
      <t xml:space="preserve">sd</t>
    </r>
  </si>
  <si>
    <r>
      <rPr>
        <b val="true"/>
        <sz val="10"/>
        <rFont val="Noto Sans CJK SC"/>
        <family val="2"/>
      </rPr>
      <t xml:space="preserve">검산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수식</t>
    </r>
    <r>
      <rPr>
        <b val="true"/>
        <sz val="10"/>
        <rFont val="Arial"/>
        <family val="0"/>
        <charset val="1"/>
      </rPr>
      <t xml:space="preserve">)</t>
    </r>
  </si>
  <si>
    <t xml:space="preserve">row0</t>
  </si>
  <si>
    <t xml:space="preserve">R²</t>
  </si>
  <si>
    <t xml:space="preserve">RMSE</t>
  </si>
  <si>
    <t xml:space="preserve">row1</t>
  </si>
  <si>
    <t xml:space="preserve">이 라운드 교정값</t>
  </si>
  <si>
    <t xml:space="preserve">v0 [V]</t>
  </si>
  <si>
    <t xml:space="preserve">se [V]</t>
  </si>
  <si>
    <t xml:space="preserve">κ</t>
  </si>
  <si>
    <r>
      <rPr>
        <b val="true"/>
        <sz val="10"/>
        <rFont val="Noto Sans CJK SC"/>
        <family val="2"/>
      </rPr>
      <t xml:space="preserve">라운드 </t>
    </r>
    <r>
      <rPr>
        <b val="true"/>
        <sz val="10"/>
        <rFont val="Arial"/>
        <family val="0"/>
        <charset val="1"/>
      </rPr>
      <t xml:space="preserve">64 1-D </t>
    </r>
    <r>
      <rPr>
        <b val="true"/>
        <sz val="10"/>
        <rFont val="Noto Sans CJK SC"/>
        <family val="2"/>
      </rPr>
      <t xml:space="preserve">교정 곡선 </t>
    </r>
    <r>
      <rPr>
        <b val="true"/>
        <sz val="10"/>
        <rFont val="Arial"/>
        <family val="0"/>
        <charset val="1"/>
      </rPr>
      <t xml:space="preserve">(fine </t>
    </r>
    <r>
      <rPr>
        <b val="true"/>
        <sz val="10"/>
        <rFont val="Noto Sans CJK SC"/>
        <family val="2"/>
      </rPr>
      <t xml:space="preserve">스윕 마지막 패스만</t>
    </r>
    <r>
      <rPr>
        <b val="true"/>
        <sz val="10"/>
        <rFont val="Arial"/>
        <family val="0"/>
        <charset val="1"/>
      </rPr>
      <t xml:space="preserve">; coarse </t>
    </r>
    <r>
      <rPr>
        <b val="true"/>
        <sz val="10"/>
        <rFont val="Noto Sans CJK SC"/>
        <family val="2"/>
      </rPr>
      <t xml:space="preserve">제외</t>
    </r>
    <r>
      <rPr>
        <b val="true"/>
        <sz val="10"/>
        <rFont val="Arial"/>
        <family val="0"/>
        <charset val="1"/>
      </rPr>
      <t xml:space="preserve">). </t>
    </r>
    <r>
      <rPr>
        <b val="true"/>
        <sz val="10"/>
        <rFont val="Noto Sans CJK SC"/>
        <family val="2"/>
      </rPr>
      <t xml:space="preserve">열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스윕 시 다른 열 </t>
    </r>
    <r>
      <rPr>
        <b val="true"/>
        <sz val="10"/>
        <rFont val="Arial"/>
        <family val="0"/>
        <charset val="1"/>
      </rPr>
      <t xml:space="preserve">x=0 (</t>
    </r>
    <r>
      <rPr>
        <b val="true"/>
        <sz val="10"/>
        <rFont val="Noto Sans CJK SC"/>
        <family val="2"/>
      </rPr>
      <t xml:space="preserve">게이트 </t>
    </r>
    <r>
      <rPr>
        <b val="true"/>
        <sz val="10"/>
        <rFont val="Arial"/>
        <family val="0"/>
        <charset val="1"/>
      </rPr>
      <t xml:space="preserve">= C). code </t>
    </r>
    <r>
      <rPr>
        <b val="true"/>
        <sz val="10"/>
        <rFont val="Noto Sans CJK SC"/>
        <family val="2"/>
      </rPr>
      <t xml:space="preserve">는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샘플 평균</t>
    </r>
    <r>
      <rPr>
        <b val="true"/>
        <sz val="10"/>
        <rFont val="Arial"/>
        <family val="0"/>
        <charset val="1"/>
      </rPr>
      <t xml:space="preserve">.</t>
    </r>
  </si>
  <si>
    <t xml:space="preserve">x [V]</t>
  </si>
  <si>
    <t xml:space="preserve">SL_A [V]</t>
  </si>
  <si>
    <t xml:space="preserve">SL_B [V]</t>
  </si>
  <si>
    <t xml:space="preserve">code</t>
  </si>
  <si>
    <t xml:space="preserve">I [uA]</t>
  </si>
  <si>
    <r>
      <rPr>
        <b val="true"/>
        <sz val="13"/>
        <rFont val="Arial"/>
        <family val="0"/>
        <charset val="1"/>
      </rPr>
      <t xml:space="preserve">0905 distance </t>
    </r>
    <r>
      <rPr>
        <b val="true"/>
        <sz val="13"/>
        <rFont val="Noto Sans CJK SC"/>
        <family val="2"/>
      </rPr>
      <t xml:space="preserve">캠페인 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회 </t>
    </r>
    <r>
      <rPr>
        <b val="true"/>
        <sz val="13"/>
        <rFont val="Arial"/>
        <family val="0"/>
        <charset val="1"/>
      </rPr>
      <t xml:space="preserve">(fefet_array_distance --auto) — </t>
    </r>
    <r>
      <rPr>
        <b val="true"/>
        <sz val="13"/>
        <rFont val="Noto Sans CJK SC"/>
        <family val="2"/>
      </rPr>
      <t xml:space="preserve">조건 스캔과 최적조건 </t>
    </r>
    <r>
      <rPr>
        <b val="true"/>
        <sz val="13"/>
        <rFont val="Arial"/>
        <family val="0"/>
        <charset val="1"/>
      </rPr>
      <t xml:space="preserve">run×3 (READ_V −1.25, C −0.93, 2</t>
    </r>
    <r>
      <rPr>
        <b val="true"/>
        <sz val="13"/>
        <rFont val="Noto Sans CJK SC"/>
        <family val="2"/>
      </rPr>
      <t xml:space="preserve">차 </t>
    </r>
    <r>
      <rPr>
        <b val="true"/>
        <sz val="13"/>
        <rFont val="Arial"/>
        <family val="0"/>
        <charset val="1"/>
      </rPr>
      <t xml:space="preserve">fit ±0.5)</t>
    </r>
  </si>
  <si>
    <r>
      <rPr>
        <b val="true"/>
        <sz val="10"/>
        <rFont val="Noto Sans CJK SC"/>
        <family val="2"/>
      </rPr>
      <t xml:space="preserve">캠페인 </t>
    </r>
    <r>
      <rPr>
        <b val="true"/>
        <sz val="10"/>
        <rFont val="Arial"/>
        <family val="0"/>
        <charset val="1"/>
      </rPr>
      <t xml:space="preserve">v1  chipX_arrdist_0905_145957 (15:00~15:29, span 0.2~0.5, MBL </t>
    </r>
    <r>
      <rPr>
        <b val="true"/>
        <sz val="10"/>
        <rFont val="Noto Sans CJK SC"/>
        <family val="2"/>
      </rPr>
      <t xml:space="preserve">스캔 포함</t>
    </r>
    <r>
      <rPr>
        <b val="true"/>
        <sz val="10"/>
        <rFont val="Arial"/>
        <family val="0"/>
        <charset val="1"/>
      </rPr>
      <t xml:space="preserve">)</t>
    </r>
  </si>
  <si>
    <t xml:space="preserve">스캔</t>
  </si>
  <si>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?</t>
    </r>
  </si>
  <si>
    <t xml:space="preserve">n_q</t>
  </si>
  <si>
    <t xml:space="preserve">SNR</t>
  </si>
  <si>
    <r>
      <rPr>
        <b val="true"/>
        <sz val="10"/>
        <color rgb="FFFFFFFF"/>
        <rFont val="Noto Sans CJK SC"/>
        <family val="2"/>
      </rPr>
      <t xml:space="preserve">신호</t>
    </r>
    <r>
      <rPr>
        <b val="true"/>
        <sz val="10"/>
        <color rgb="FFFFFFFF"/>
        <rFont val="Arial"/>
        <family val="0"/>
        <charset val="1"/>
      </rPr>
      <t xml:space="preserve">σ</t>
    </r>
  </si>
  <si>
    <t xml:space="preserve">row0 R²</t>
  </si>
  <si>
    <t xml:space="preserve">row1 R²</t>
  </si>
  <si>
    <r>
      <rPr>
        <b val="true"/>
        <sz val="10"/>
        <color rgb="FFFFFFFF"/>
        <rFont val="Noto Sans CJK SC"/>
        <family val="2"/>
      </rPr>
      <t xml:space="preserve">전체 </t>
    </r>
    <r>
      <rPr>
        <b val="true"/>
        <sz val="10"/>
        <color rgb="FFFFFFFF"/>
        <rFont val="Arial"/>
        <family val="0"/>
        <charset val="1"/>
      </rPr>
      <t xml:space="preserve">R²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</si>
  <si>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차 </t>
    </r>
    <r>
      <rPr>
        <b val="true"/>
        <sz val="10"/>
        <color rgb="FFFFFFFF"/>
        <rFont val="Arial"/>
        <family val="0"/>
        <charset val="1"/>
      </rPr>
      <t xml:space="preserve">RMSE</t>
    </r>
  </si>
  <si>
    <r>
      <rPr>
        <b val="true"/>
        <sz val="10"/>
        <color rgb="FFFFFFFF"/>
        <rFont val="Noto Sans CJK SC"/>
        <family val="2"/>
      </rPr>
      <t xml:space="preserve">중첩 </t>
    </r>
    <r>
      <rPr>
        <b val="true"/>
        <sz val="10"/>
        <color rgb="FFFFFFFF"/>
        <rFont val="Arial"/>
        <family val="0"/>
        <charset val="1"/>
      </rPr>
      <t xml:space="preserve">RMSE</t>
    </r>
  </si>
  <si>
    <t xml:space="preserve">acc</t>
  </si>
  <si>
    <t xml:space="preserve">headroom</t>
  </si>
  <si>
    <t xml:space="preserve">15:01</t>
  </si>
  <si>
    <t xml:space="preserve">15:02</t>
  </si>
  <si>
    <t xml:space="preserve">15:04</t>
  </si>
  <si>
    <t xml:space="preserve">15:05</t>
  </si>
  <si>
    <t xml:space="preserve">15:07</t>
  </si>
  <si>
    <t xml:space="preserve">15:08</t>
  </si>
  <si>
    <t xml:space="preserve">15:10</t>
  </si>
  <si>
    <t xml:space="preserve">15:12</t>
  </si>
  <si>
    <t xml:space="preserve">15:14</t>
  </si>
  <si>
    <t xml:space="preserve">15:16</t>
  </si>
  <si>
    <t xml:space="preserve">15:17</t>
  </si>
  <si>
    <t xml:space="preserve">15:19</t>
  </si>
  <si>
    <t xml:space="preserve">15:21</t>
  </si>
  <si>
    <r>
      <rPr>
        <b val="true"/>
        <sz val="10"/>
        <rFont val="Noto Sans CJK SC"/>
        <family val="2"/>
      </rPr>
      <t xml:space="preserve">최적조건 </t>
    </r>
    <r>
      <rPr>
        <b val="true"/>
        <sz val="10"/>
        <rFont val="Arial"/>
        <family val="0"/>
        <charset val="1"/>
      </rPr>
      <t xml:space="preserve">run (32 </t>
    </r>
    <r>
      <rPr>
        <b val="true"/>
        <sz val="10"/>
        <rFont val="Noto Sans CJK SC"/>
        <family val="2"/>
      </rPr>
      <t xml:space="preserve">질의</t>
    </r>
    <r>
      <rPr>
        <b val="true"/>
        <sz val="10"/>
        <rFont val="Arial"/>
        <family val="0"/>
        <charset val="1"/>
      </rPr>
      <t xml:space="preserve">) / grid</t>
    </r>
  </si>
  <si>
    <t xml:space="preserve">run</t>
  </si>
  <si>
    <t xml:space="preserve">S_check r0</t>
  </si>
  <si>
    <t xml:space="preserve">S_check r1</t>
  </si>
  <si>
    <t xml:space="preserve">run 1</t>
  </si>
  <si>
    <t xml:space="preserve">mbl-1.25_C-0.73_span0.40_ns3</t>
  </si>
  <si>
    <t xml:space="preserve">run 2</t>
  </si>
  <si>
    <t xml:space="preserve">run 3</t>
  </si>
  <si>
    <t xml:space="preserve">grid 5×5</t>
  </si>
  <si>
    <r>
      <rPr>
        <i val="true"/>
        <sz val="9"/>
        <color rgb="FF555555"/>
        <rFont val="Noto Sans CJK SC"/>
        <family val="2"/>
      </rPr>
      <t xml:space="preserve">권장</t>
    </r>
    <r>
      <rPr>
        <i val="true"/>
        <sz val="9"/>
        <color rgb="FF555555"/>
        <rFont val="Arial"/>
        <family val="0"/>
        <charset val="1"/>
      </rPr>
      <t xml:space="preserve">: {"read_v": -1.25, "center_v": -0.93, "span": 0.4, "samples": 3, "final_runs": [{"n_q": 32, "t_s": 21.9, "cond": "mbl-1.25_C-0.93_span0.40_ns3", "r2_all": 0.9743356067328036, "rmse": 9.167809126925867, "resid_slope": 0.023664804471762467, "sig_std": 12.23751580273925, "snr": 1.3348353606967722, "r2_s</t>
    </r>
  </si>
  <si>
    <r>
      <rPr>
        <b val="true"/>
        <sz val="10"/>
        <rFont val="Noto Sans CJK SC"/>
        <family val="2"/>
      </rPr>
      <t xml:space="preserve">캠페인 </t>
    </r>
    <r>
      <rPr>
        <b val="true"/>
        <sz val="10"/>
        <rFont val="Arial"/>
        <family val="0"/>
        <charset val="1"/>
      </rPr>
      <t xml:space="preserve">v2  chipX_arrdist_0905_164533 (16:45~17:24, span 0.3~0.6, </t>
    </r>
    <r>
      <rPr>
        <b val="true"/>
        <sz val="10"/>
        <rFont val="Noto Sans CJK SC"/>
        <family val="2"/>
      </rPr>
      <t xml:space="preserve">짝 </t>
    </r>
    <r>
      <rPr>
        <b val="true"/>
        <sz val="10"/>
        <rFont val="Arial"/>
        <family val="0"/>
        <charset val="1"/>
      </rPr>
      <t xml:space="preserve">seed + </t>
    </r>
    <r>
      <rPr>
        <b val="true"/>
        <sz val="10"/>
        <rFont val="Noto Sans CJK SC"/>
        <family val="2"/>
      </rPr>
      <t xml:space="preserve">기준 재측정</t>
    </r>
    <r>
      <rPr>
        <b val="true"/>
        <sz val="10"/>
        <rFont val="Arial"/>
        <family val="0"/>
        <charset val="1"/>
      </rPr>
      <t xml:space="preserve">)</t>
    </r>
  </si>
  <si>
    <t xml:space="preserve">16:47</t>
  </si>
  <si>
    <t xml:space="preserve">16:48</t>
  </si>
  <si>
    <t xml:space="preserve">16:50</t>
  </si>
  <si>
    <t xml:space="preserve">16:52</t>
  </si>
  <si>
    <t xml:space="preserve">16:53</t>
  </si>
  <si>
    <t xml:space="preserve">16:55</t>
  </si>
  <si>
    <t xml:space="preserve">16:57</t>
  </si>
  <si>
    <t xml:space="preserve">16:59</t>
  </si>
  <si>
    <t xml:space="preserve">17:00</t>
  </si>
  <si>
    <t xml:space="preserve">17:02</t>
  </si>
  <si>
    <t xml:space="preserve">17:04</t>
  </si>
  <si>
    <t xml:space="preserve">17:06</t>
  </si>
  <si>
    <t xml:space="preserve">17:08</t>
  </si>
  <si>
    <t xml:space="preserve">17:10</t>
  </si>
  <si>
    <t xml:space="preserve">17:11</t>
  </si>
  <si>
    <t xml:space="preserve">17:13</t>
  </si>
  <si>
    <t xml:space="preserve">17:15</t>
  </si>
  <si>
    <r>
      <rPr>
        <i val="true"/>
        <sz val="9"/>
        <color rgb="FF555555"/>
        <rFont val="Noto Sans CJK SC"/>
        <family val="2"/>
      </rPr>
      <t xml:space="preserve">권장</t>
    </r>
    <r>
      <rPr>
        <i val="true"/>
        <sz val="9"/>
        <color rgb="FF555555"/>
        <rFont val="Arial"/>
        <family val="0"/>
        <charset val="1"/>
      </rPr>
      <t xml:space="preserve">: {"read_v": -1.25, "center_v": -0.93, "span": 0.6, "samples": 3, "final_runs": [{"n_q": 32, "t_s": 22.8, "cond": "mbl-1.25_C-0.93_span0.60_ns3", "r2_all": 0.9870651267598657, "rmse": 6.8140546810756675, "resid_slope": -0.01631071756816184, "sig_std": 30.987907902625402, "snr": 4.547645910251728, "r2_</t>
    </r>
  </si>
  <si>
    <r>
      <rPr>
        <b val="true"/>
        <sz val="13"/>
        <rFont val="Arial"/>
        <family val="0"/>
        <charset val="1"/>
      </rPr>
      <t xml:space="preserve">0905 </t>
    </r>
    <r>
      <rPr>
        <b val="true"/>
        <sz val="13"/>
        <rFont val="Noto Sans CJK SC"/>
        <family val="2"/>
      </rPr>
      <t xml:space="preserve">영점</t>
    </r>
    <r>
      <rPr>
        <b val="true"/>
        <sz val="13"/>
        <rFont val="Arial"/>
        <family val="0"/>
        <charset val="1"/>
      </rPr>
      <t xml:space="preserve">(arrauto) chipX_arrauto_0905_133125 — </t>
    </r>
    <r>
      <rPr>
        <b val="true"/>
        <sz val="13"/>
        <rFont val="Noto Sans CJK SC"/>
        <family val="2"/>
      </rPr>
      <t xml:space="preserve">읽기 동작점 결정</t>
    </r>
  </si>
  <si>
    <t xml:space="preserve">READ_V [V]</t>
  </si>
  <si>
    <t xml:space="preserve">center C [V]</t>
  </si>
  <si>
    <r>
      <rPr>
        <b val="true"/>
        <sz val="10"/>
        <rFont val="Arial"/>
        <family val="0"/>
        <charset val="1"/>
      </rPr>
      <t xml:space="preserve">Vth_mean [V] (4</t>
    </r>
    <r>
      <rPr>
        <b val="true"/>
        <sz val="10"/>
        <rFont val="Noto Sans CJK SC"/>
        <family val="2"/>
      </rPr>
      <t xml:space="preserve">셀 </t>
    </r>
    <r>
      <rPr>
        <b val="true"/>
        <sz val="10"/>
        <rFont val="Arial"/>
        <family val="0"/>
        <charset val="1"/>
      </rPr>
      <t xml:space="preserve">CM </t>
    </r>
    <r>
      <rPr>
        <b val="true"/>
        <sz val="10"/>
        <rFont val="Noto Sans CJK SC"/>
        <family val="2"/>
      </rPr>
      <t xml:space="preserve">스캔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</si>
  <si>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notch σ [V] (</t>
    </r>
    <r>
      <rPr>
        <b val="true"/>
        <sz val="10"/>
        <rFont val="Noto Sans CJK SC"/>
        <family val="2"/>
      </rPr>
      <t xml:space="preserve">반복</t>
    </r>
    <r>
      <rPr>
        <b val="true"/>
        <sz val="10"/>
        <rFont val="Arial"/>
        <family val="0"/>
        <charset val="1"/>
      </rPr>
      <t xml:space="preserve">)</t>
    </r>
  </si>
  <si>
    <t xml:space="preserve">notch se [V]</t>
  </si>
  <si>
    <t xml:space="preserve">baseline TIA code (row0,row1)</t>
  </si>
  <si>
    <t xml:space="preserve">[22.3, 119.1]</t>
  </si>
  <si>
    <r>
      <rPr>
        <b val="true"/>
        <sz val="10"/>
        <rFont val="Arial"/>
        <family val="0"/>
        <charset val="1"/>
      </rPr>
      <t xml:space="preserve">fine </t>
    </r>
    <r>
      <rPr>
        <b val="true"/>
        <sz val="10"/>
        <rFont val="Noto Sans CJK SC"/>
        <family val="2"/>
      </rPr>
      <t xml:space="preserve">창</t>
    </r>
    <r>
      <rPr>
        <b val="true"/>
        <sz val="10"/>
        <rFont val="Arial"/>
        <family val="0"/>
        <charset val="1"/>
      </rPr>
      <t xml:space="preserve">/step [V]</t>
    </r>
  </si>
  <si>
    <t xml:space="preserve">±0.5 / 0.05</t>
  </si>
  <si>
    <t xml:space="preserve">노치 방향</t>
  </si>
  <si>
    <t xml:space="preserve">min</t>
  </si>
  <si>
    <t xml:space="preserve">notch v0 [V]</t>
  </si>
  <si>
    <r>
      <rPr>
        <sz val="10"/>
        <rFont val="Arial"/>
        <family val="0"/>
        <charset val="1"/>
      </rPr>
      <t xml:space="preserve">C −0.93 </t>
    </r>
    <r>
      <rPr>
        <sz val="10"/>
        <rFont val="Noto Sans CJK SC"/>
        <family val="2"/>
      </rPr>
      <t xml:space="preserve">기준 상보 스윕 노치 위치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저장값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</si>
  <si>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영점 캠페인 </t>
    </r>
    <r>
      <rPr>
        <b val="true"/>
        <sz val="10"/>
        <rFont val="Arial"/>
        <family val="0"/>
        <charset val="1"/>
      </rPr>
      <t xml:space="preserve">notch </t>
    </r>
    <r>
      <rPr>
        <b val="true"/>
        <sz val="10"/>
        <rFont val="Noto Sans CJK SC"/>
        <family val="2"/>
      </rPr>
      <t xml:space="preserve">원자료 </t>
    </r>
    <r>
      <rPr>
        <b val="true"/>
        <sz val="10"/>
        <rFont val="Arial"/>
        <family val="0"/>
        <charset val="1"/>
      </rPr>
      <t xml:space="preserve">(kind/tag/cond </t>
    </r>
    <r>
      <rPr>
        <b val="true"/>
        <sz val="10"/>
        <rFont val="Noto Sans CJK SC"/>
        <family val="2"/>
      </rPr>
      <t xml:space="preserve">별</t>
    </r>
    <r>
      <rPr>
        <b val="true"/>
        <sz val="10"/>
        <rFont val="Arial"/>
        <family val="0"/>
        <charset val="1"/>
      </rPr>
      <t xml:space="preserve">)</t>
    </r>
  </si>
  <si>
    <t xml:space="preserve">seq</t>
  </si>
  <si>
    <t xml:space="preserve">kind</t>
  </si>
  <si>
    <t xml:space="preserve">notch_v</t>
  </si>
  <si>
    <t xml:space="preserve">curv</t>
  </si>
  <si>
    <t xml:space="preserve">scan_center</t>
  </si>
  <si>
    <t xml:space="preserve">center-1.23</t>
  </si>
  <si>
    <t xml:space="preserve">mbl-1.00_C-1.23_oth+0.00</t>
  </si>
  <si>
    <t xml:space="preserve">2026-09-05T13:35:09</t>
  </si>
  <si>
    <t xml:space="preserve">2026-09-05T13:36:02</t>
  </si>
  <si>
    <t xml:space="preserve">center-0.93</t>
  </si>
  <si>
    <t xml:space="preserve">mbl-1.00_C-0.93_oth+0.00</t>
  </si>
  <si>
    <t xml:space="preserve">2026-09-05T13:36:27</t>
  </si>
  <si>
    <t xml:space="preserve">2026-09-05T13:37:20</t>
  </si>
  <si>
    <t xml:space="preserve">center-0.63</t>
  </si>
  <si>
    <t xml:space="preserve">mbl-1.00_C-0.63_oth+0.00</t>
  </si>
  <si>
    <t xml:space="preserve">2026-09-05T13:38:00</t>
  </si>
  <si>
    <t xml:space="preserve">2026-09-05T13:38:33</t>
  </si>
  <si>
    <t xml:space="preserve">center-0.33</t>
  </si>
  <si>
    <t xml:space="preserve">mbl-1.00_C-0.33_oth+0.00</t>
  </si>
  <si>
    <t xml:space="preserve">2026-09-05T13:39:16</t>
  </si>
  <si>
    <t xml:space="preserve">2026-09-05T13:39:59</t>
  </si>
  <si>
    <t xml:space="preserve">center-0.03</t>
  </si>
  <si>
    <t xml:space="preserve">mbl-1.00_C-0.03_oth+0.00</t>
  </si>
  <si>
    <t xml:space="preserve">2026-09-05T13:40:44</t>
  </si>
  <si>
    <t xml:space="preserve">2026-09-05T13:41:26</t>
  </si>
  <si>
    <t xml:space="preserve">scan_mbl</t>
  </si>
  <si>
    <t xml:space="preserve">mbl-0.50</t>
  </si>
  <si>
    <t xml:space="preserve">mbl-0.50_C-0.93_oth+0.00</t>
  </si>
  <si>
    <t xml:space="preserve">2026-09-05T13:42:20</t>
  </si>
  <si>
    <t xml:space="preserve">2026-09-05T13:42:43</t>
  </si>
  <si>
    <t xml:space="preserve">mbl-0.75</t>
  </si>
  <si>
    <t xml:space="preserve">mbl-0.75_C-0.93_oth+0.00</t>
  </si>
  <si>
    <t xml:space="preserve">2026-09-05T13:43:35</t>
  </si>
  <si>
    <t xml:space="preserve">2026-09-05T13:44:23</t>
  </si>
  <si>
    <t xml:space="preserve">mbl-1.00</t>
  </si>
  <si>
    <t xml:space="preserve">2026-09-05T13:45:13</t>
  </si>
  <si>
    <t xml:space="preserve">2026-09-05T13:46:06</t>
  </si>
  <si>
    <t xml:space="preserve">mbl-1.25</t>
  </si>
  <si>
    <t xml:space="preserve">mbl-1.25_C-0.93_oth+0.00</t>
  </si>
  <si>
    <t xml:space="preserve">2026-09-05T13:46:59</t>
  </si>
  <si>
    <t xml:space="preserve">2026-09-05T13:47:48</t>
  </si>
  <si>
    <t xml:space="preserve">rep</t>
  </si>
  <si>
    <t xml:space="preserve">rep1</t>
  </si>
  <si>
    <t xml:space="preserve">2026-09-05T13:48:13</t>
  </si>
  <si>
    <t xml:space="preserve">rep2</t>
  </si>
  <si>
    <t xml:space="preserve">2026-09-05T13:48:26</t>
  </si>
  <si>
    <t xml:space="preserve">rep3</t>
  </si>
  <si>
    <t xml:space="preserve">2026-09-05T13:49:07</t>
  </si>
  <si>
    <t xml:space="preserve">rep4</t>
  </si>
  <si>
    <t xml:space="preserve">2026-09-05T13:49:35</t>
  </si>
  <si>
    <t xml:space="preserve">rep5</t>
  </si>
  <si>
    <t xml:space="preserve">2026-09-05T13:50:04</t>
  </si>
  <si>
    <t xml:space="preserve">2026-09-05T13:50:52</t>
  </si>
  <si>
    <t xml:space="preserve">2026-09-05T13:51:36</t>
  </si>
  <si>
    <t xml:space="preserve">2026-09-05T13:52:18</t>
  </si>
  <si>
    <t xml:space="preserve">2026-09-05T13:53:00</t>
  </si>
  <si>
    <t xml:space="preserve">2026-09-05T13:53:29</t>
  </si>
  <si>
    <t xml:space="preserve">trim</t>
  </si>
  <si>
    <t xml:space="preserve">trim_before</t>
  </si>
  <si>
    <t xml:space="preserve">2026-09-05T13:54:21</t>
  </si>
  <si>
    <t xml:space="preserve">2026-09-05T13:54:43</t>
  </si>
  <si>
    <t xml:space="preserve">trim_R0C0_pre</t>
  </si>
  <si>
    <t xml:space="preserve">2026-09-05T13:55:07</t>
  </si>
  <si>
    <t xml:space="preserve">trim_R0C0_s1</t>
  </si>
  <si>
    <t xml:space="preserve">2026-09-05T13:55:56</t>
  </si>
  <si>
    <t xml:space="preserve">trim_R0C0_s2</t>
  </si>
  <si>
    <t xml:space="preserve">2026-09-05T13:56:29</t>
  </si>
  <si>
    <t xml:space="preserve">trim_R0C0_s3</t>
  </si>
  <si>
    <t xml:space="preserve">2026-09-05T13:57:05</t>
  </si>
  <si>
    <t xml:space="preserve">trim_R0C0_s4</t>
  </si>
  <si>
    <t xml:space="preserve">2026-09-05T13:57:40</t>
  </si>
  <si>
    <t xml:space="preserve">trim_R0C0_s5</t>
  </si>
  <si>
    <t xml:space="preserve">2026-09-05T13:58:13</t>
  </si>
  <si>
    <t xml:space="preserve">trim_R0C0_s6</t>
  </si>
  <si>
    <t xml:space="preserve">2026-09-05T13:58:47</t>
  </si>
  <si>
    <t xml:space="preserve">trim_R0C0_s7</t>
  </si>
  <si>
    <t xml:space="preserve">2026-09-05T13:59:33</t>
  </si>
  <si>
    <t xml:space="preserve">trim_R0C0_s8</t>
  </si>
  <si>
    <t xml:space="preserve">2026-09-05T13:59:52</t>
  </si>
  <si>
    <t xml:space="preserve">trim_R0C0_s9</t>
  </si>
  <si>
    <t xml:space="preserve">2026-09-05T14:00:25</t>
  </si>
  <si>
    <t xml:space="preserve">trim_R0C0_s10</t>
  </si>
  <si>
    <t xml:space="preserve">2026-09-05T14:00:59</t>
  </si>
  <si>
    <t xml:space="preserve">trim_R0C0_s11</t>
  </si>
  <si>
    <t xml:space="preserve">2026-09-05T14:01:47</t>
  </si>
  <si>
    <t xml:space="preserve">trim_R0C0_s12</t>
  </si>
  <si>
    <t xml:space="preserve">2026-09-05T14:02:34</t>
  </si>
  <si>
    <t xml:space="preserve">trim_R1C0_pre</t>
  </si>
  <si>
    <t xml:space="preserve">2026-09-05T14:03:27</t>
  </si>
  <si>
    <t xml:space="preserve">trim_R1C0_s1</t>
  </si>
  <si>
    <t xml:space="preserve">2026-09-05T14:04:14</t>
  </si>
  <si>
    <t xml:space="preserve">trim_R1C0_s2</t>
  </si>
  <si>
    <t xml:space="preserve">2026-09-05T14:04:46</t>
  </si>
  <si>
    <t xml:space="preserve">trim_R1C0_s3</t>
  </si>
  <si>
    <t xml:space="preserve">2026-09-05T14:05:19</t>
  </si>
  <si>
    <t xml:space="preserve">trim_R1C0_s4</t>
  </si>
  <si>
    <t xml:space="preserve">2026-09-05T14:05:52</t>
  </si>
  <si>
    <t xml:space="preserve">trim_R1C0_s5</t>
  </si>
  <si>
    <t xml:space="preserve">2026-09-05T14:06:38</t>
  </si>
  <si>
    <t xml:space="preserve">trim_R1C0_s6</t>
  </si>
  <si>
    <t xml:space="preserve">2026-09-05T14:07:26</t>
  </si>
  <si>
    <t xml:space="preserve">trim_R1C0_s7</t>
  </si>
  <si>
    <t xml:space="preserve">2026-09-05T14:08:00</t>
  </si>
  <si>
    <t xml:space="preserve">trim_R1C0_s8</t>
  </si>
  <si>
    <t xml:space="preserve">2026-09-05T14:08:20</t>
  </si>
  <si>
    <t xml:space="preserve">trim_R1C0_s9</t>
  </si>
  <si>
    <t xml:space="preserve">2026-09-05T14:09:05</t>
  </si>
  <si>
    <t xml:space="preserve">trim_R0C1_pre</t>
  </si>
  <si>
    <t xml:space="preserve">2026-09-05T14:09:58</t>
  </si>
  <si>
    <t xml:space="preserve">trim_R0C1_s1</t>
  </si>
  <si>
    <t xml:space="preserve">2026-09-05T14:10:32</t>
  </si>
  <si>
    <t xml:space="preserve">trim_R0C1_s2</t>
  </si>
  <si>
    <t xml:space="preserve">2026-09-05T14:11:21</t>
  </si>
  <si>
    <t xml:space="preserve">trim_R1C1_pre</t>
  </si>
  <si>
    <t xml:space="preserve">2026-09-05T14:12:12</t>
  </si>
  <si>
    <t xml:space="preserve">trim_after</t>
  </si>
  <si>
    <t xml:space="preserve">2026-09-05T14:13:24</t>
  </si>
  <si>
    <t xml:space="preserve">2026-09-05T14:13:38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</si>
</sst>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00"/>
    <numFmt numFmtId="168" formatCode="0.0"/>
    <numFmt numFmtId="169" formatCode="0.0000"/>
    <numFmt numFmtId="170" formatCode="\+0.000;\-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20.1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3" t="s">
        <v>2</v>
      </c>
    </row>
    <row r="4" customFormat="false" ht="15" hidden="false" customHeight="true" outlineLevel="0" collapsed="false">
      <c r="A4" s="2" t="s">
        <v>3</v>
      </c>
      <c r="B4" s="4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30" hidden="false" customHeight="true" outlineLevel="0" collapsed="false">
      <c r="A10" s="2" t="s">
        <v>15</v>
      </c>
      <c r="B10" s="3" t="s">
        <v>16</v>
      </c>
    </row>
    <row r="11" customFormat="false" ht="30" hidden="false" customHeight="true" outlineLevel="0" collapsed="false">
      <c r="A11" s="2" t="s">
        <v>17</v>
      </c>
      <c r="B11" s="3" t="s">
        <v>18</v>
      </c>
    </row>
    <row r="12" customFormat="false" ht="45" hidden="false" customHeight="true" outlineLevel="0" collapsed="false">
      <c r="A12" s="2" t="s">
        <v>19</v>
      </c>
      <c r="B12" s="3" t="s">
        <v>20</v>
      </c>
    </row>
    <row r="13" customFormat="false" ht="45" hidden="false" customHeight="true" outlineLevel="0" collapsed="false">
      <c r="A13" s="2" t="s">
        <v>21</v>
      </c>
      <c r="B13" s="4" t="s">
        <v>22</v>
      </c>
    </row>
    <row r="14" customFormat="false" ht="45" hidden="false" customHeight="true" outlineLevel="0" collapsed="false">
      <c r="A14" s="2" t="s">
        <v>23</v>
      </c>
      <c r="B14" s="3" t="s">
        <v>24</v>
      </c>
    </row>
    <row r="15" customFormat="false" ht="30" hidden="false" customHeight="true" outlineLevel="0" collapsed="false">
      <c r="A15" s="2" t="s">
        <v>25</v>
      </c>
      <c r="B1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20.1" hidden="false" customHeight="false" outlineLevel="0" collapsed="false">
      <c r="A1" s="5" t="s">
        <v>27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30</v>
      </c>
    </row>
    <row r="4" customFormat="false" ht="30" hidden="false" customHeight="true" outlineLevel="0" collapsed="false">
      <c r="A4" s="7" t="s">
        <v>31</v>
      </c>
      <c r="B4" s="8" t="n">
        <v>-1.75</v>
      </c>
      <c r="C4" s="4" t="s">
        <v>32</v>
      </c>
    </row>
    <row r="5" customFormat="false" ht="30" hidden="false" customHeight="true" outlineLevel="0" collapsed="false">
      <c r="A5" s="2" t="s">
        <v>33</v>
      </c>
      <c r="B5" s="8" t="n">
        <v>-0.93</v>
      </c>
      <c r="C5" s="3" t="s">
        <v>34</v>
      </c>
    </row>
    <row r="6" customFormat="false" ht="30" hidden="false" customHeight="true" outlineLevel="0" collapsed="false">
      <c r="A6" s="2" t="s">
        <v>35</v>
      </c>
      <c r="B6" s="8" t="n">
        <v>0.7</v>
      </c>
      <c r="C6" s="3" t="s">
        <v>36</v>
      </c>
    </row>
    <row r="7" customFormat="false" ht="30" hidden="false" customHeight="true" outlineLevel="0" collapsed="false">
      <c r="A7" s="2" t="s">
        <v>37</v>
      </c>
      <c r="B7" s="8" t="n">
        <v>0.7</v>
      </c>
      <c r="C7" s="4" t="s">
        <v>38</v>
      </c>
    </row>
    <row r="8" customFormat="false" ht="30" hidden="false" customHeight="true" outlineLevel="0" collapsed="false">
      <c r="A8" s="7" t="s">
        <v>39</v>
      </c>
      <c r="B8" s="8" t="n">
        <v>0.6</v>
      </c>
      <c r="C8" s="3" t="s">
        <v>40</v>
      </c>
    </row>
    <row r="9" customFormat="false" ht="30" hidden="false" customHeight="true" outlineLevel="0" collapsed="false">
      <c r="A9" s="7" t="s">
        <v>41</v>
      </c>
      <c r="B9" s="9" t="n">
        <v>3</v>
      </c>
      <c r="C9" s="3" t="s">
        <v>42</v>
      </c>
    </row>
    <row r="10" customFormat="false" ht="30" hidden="false" customHeight="true" outlineLevel="0" collapsed="false">
      <c r="A10" s="2" t="s">
        <v>43</v>
      </c>
      <c r="B10" s="9" t="n">
        <v>24</v>
      </c>
      <c r="C10" s="4" t="s">
        <v>44</v>
      </c>
    </row>
    <row r="11" customFormat="false" ht="30" hidden="false" customHeight="true" outlineLevel="0" collapsed="false">
      <c r="A11" s="2" t="s">
        <v>45</v>
      </c>
      <c r="B11" s="8" t="n">
        <v>131.25</v>
      </c>
      <c r="C11" s="4" t="s">
        <v>46</v>
      </c>
    </row>
    <row r="14" customFormat="false" ht="15" hidden="false" customHeight="false" outlineLevel="0" collapsed="false">
      <c r="A14" s="10" t="s">
        <v>47</v>
      </c>
    </row>
    <row r="15" customFormat="false" ht="15" hidden="false" customHeight="false" outlineLevel="0" collapsed="false">
      <c r="A15" s="6" t="s">
        <v>11</v>
      </c>
      <c r="B15" s="6" t="s">
        <v>29</v>
      </c>
      <c r="C15" s="6" t="s">
        <v>48</v>
      </c>
    </row>
    <row r="16" customFormat="false" ht="15" hidden="false" customHeight="false" outlineLevel="0" collapsed="false">
      <c r="A16" s="7" t="s">
        <v>49</v>
      </c>
      <c r="B16" s="11" t="n">
        <f aca="false">COUNTIFS(Rounds!$E:$E,0.7,Rounds!$F:$F,-1.75,Rounds!$I:$I,0.7,Rounds!$J:$J,0.6,Rounds!$K:$K,3,Rounds!$H:$H,0)</f>
        <v>13</v>
      </c>
      <c r="C16" s="12" t="s">
        <v>50</v>
      </c>
    </row>
    <row r="17" customFormat="false" ht="15" hidden="false" customHeight="false" outlineLevel="0" collapsed="false">
      <c r="A17" s="7" t="s">
        <v>51</v>
      </c>
      <c r="B17" s="13" t="n">
        <f aca="false">AVERAGEIFS(Rounds!$O:$O,Rounds!$E:$E,0.7,Rounds!$F:$F,-1.75,Rounds!$I:$I,0.7,Rounds!$J:$J,0.6,Rounds!$K:$K,3,Rounds!$H:$H,0)</f>
        <v>0.981030769230769</v>
      </c>
      <c r="C17" s="12" t="s">
        <v>50</v>
      </c>
    </row>
    <row r="18" customFormat="false" ht="15" hidden="false" customHeight="false" outlineLevel="0" collapsed="false">
      <c r="A18" s="7" t="s">
        <v>52</v>
      </c>
      <c r="B18" s="13" t="n">
        <f aca="false">_xlfn.MINIFS(Rounds!$O:$O,Rounds!$E:$E,0.7,Rounds!$F:$F,-1.75,Rounds!$I:$I,0.7,Rounds!$J:$J,0.6,Rounds!$K:$K,3,Rounds!$H:$H,0)</f>
        <v>0.9722</v>
      </c>
      <c r="C18" s="12" t="s">
        <v>50</v>
      </c>
    </row>
    <row r="19" customFormat="false" ht="15" hidden="false" customHeight="false" outlineLevel="0" collapsed="false">
      <c r="A19" s="7" t="s">
        <v>53</v>
      </c>
      <c r="B19" s="13" t="n">
        <f aca="false">_xlfn.MAXIFS(Rounds!$O:$O,Rounds!$E:$E,0.7,Rounds!$F:$F,-1.75,Rounds!$I:$I,0.7,Rounds!$J:$J,0.6,Rounds!$K:$K,3,Rounds!$H:$H,0)</f>
        <v>0.9902</v>
      </c>
      <c r="C19" s="12" t="s">
        <v>50</v>
      </c>
    </row>
    <row r="20" customFormat="false" ht="15" hidden="false" customHeight="false" outlineLevel="0" collapsed="false">
      <c r="A20" s="7" t="s">
        <v>54</v>
      </c>
      <c r="B20" s="14" t="n">
        <f aca="false">AVERAGEIFS(Rounds!$U:$U,Rounds!$E:$E,0.7,Rounds!$F:$F,-1.75,Rounds!$I:$I,0.7,Rounds!$J:$J,0.6,Rounds!$K:$K,3,Rounds!$H:$H,0)</f>
        <v>6.23846153846154</v>
      </c>
      <c r="C20" s="12" t="s">
        <v>50</v>
      </c>
    </row>
    <row r="21" customFormat="false" ht="15" hidden="false" customHeight="false" outlineLevel="0" collapsed="false">
      <c r="A21" s="7" t="s">
        <v>55</v>
      </c>
      <c r="B21" s="14" t="n">
        <f aca="false">AVERAGEIFS(Rounds!$AE:$AE,Rounds!$E:$E,0.7,Rounds!$F:$F,-1.75,Rounds!$I:$I,0.7,Rounds!$J:$J,0.6,Rounds!$K:$K,3,Rounds!$H:$H,0)</f>
        <v>9.3</v>
      </c>
      <c r="C21" s="12" t="s">
        <v>50</v>
      </c>
    </row>
    <row r="22" customFormat="false" ht="15" hidden="false" customHeight="false" outlineLevel="0" collapsed="false">
      <c r="A22" s="7" t="s">
        <v>56</v>
      </c>
      <c r="B22" s="15" t="n">
        <f aca="false">AVERAGEIFS(Rounds!$AC:$AC,Rounds!$E:$E,0.7,Rounds!$F:$F,-1.75,Rounds!$I:$I,0.7,Rounds!$J:$J,0.6,Rounds!$K:$K,3,Rounds!$H:$H,0)</f>
        <v>7.72076923076923</v>
      </c>
      <c r="C22" s="12" t="s">
        <v>50</v>
      </c>
    </row>
    <row r="23" customFormat="false" ht="15" hidden="false" customHeight="false" outlineLevel="0" collapsed="false">
      <c r="A23" s="2" t="s">
        <v>57</v>
      </c>
      <c r="B23" s="14" t="n">
        <f aca="false">AVERAGEIFS(Rounds!$AD:$AD,Rounds!$E:$E,0.7,Rounds!$F:$F,-1.75,Rounds!$I:$I,0.7,Rounds!$J:$J,0.6,Rounds!$K:$K,3,Rounds!$H:$H,0)</f>
        <v>46.9846153846154</v>
      </c>
      <c r="C23" s="12" t="s">
        <v>50</v>
      </c>
    </row>
    <row r="24" customFormat="false" ht="15" hidden="false" customHeight="false" outlineLevel="0" collapsed="false">
      <c r="A24" s="7" t="s">
        <v>58</v>
      </c>
      <c r="B24" s="11" t="n">
        <f aca="false">AVERAGEIFS(Rounds!$AK:$AK,Rounds!$E:$E,0.7,Rounds!$F:$F,-1.75,Rounds!$I:$I,0.7,Rounds!$J:$J,0.6,Rounds!$K:$K,3,Rounds!$H:$H,0)</f>
        <v>226.538461538462</v>
      </c>
      <c r="C24" s="12" t="s">
        <v>50</v>
      </c>
    </row>
    <row r="25" customFormat="false" ht="15" hidden="false" customHeight="false" outlineLevel="0" collapsed="false">
      <c r="A25" s="7" t="s">
        <v>59</v>
      </c>
      <c r="B25" s="11" t="n">
        <f aca="false">_xlfn.MINIFS(Rounds!$AJ:$AJ,Rounds!$E:$E,0.7,Rounds!$F:$F,-1.75,Rounds!$I:$I,0.7,Rounds!$J:$J,0.6,Rounds!$K:$K,3,Rounds!$H:$H,0)</f>
        <v>1255</v>
      </c>
      <c r="C25" s="12" t="s">
        <v>50</v>
      </c>
    </row>
    <row r="26" customFormat="false" ht="15" hidden="false" customHeight="false" outlineLevel="0" collapsed="false">
      <c r="A26" s="7" t="s">
        <v>60</v>
      </c>
      <c r="B26" s="11" t="n">
        <f aca="false">AVERAGEIFS(Rounds!$AI:$AI,Rounds!$E:$E,0.7,Rounds!$F:$F,-1.75,Rounds!$I:$I,0.7,Rounds!$J:$J,0.6,Rounds!$K:$K,3,Rounds!$H:$H,0)</f>
        <v>137.615384615385</v>
      </c>
      <c r="C26" s="12" t="s">
        <v>50</v>
      </c>
    </row>
    <row r="28" customFormat="false" ht="15" hidden="false" customHeight="false" outlineLevel="0" collapsed="false">
      <c r="A28" s="1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14"/>
    <col collapsed="false" customWidth="true" hidden="false" outlineLevel="0" max="51" min="5" style="0" width="7"/>
  </cols>
  <sheetData>
    <row r="1" customFormat="false" ht="46.25" hidden="false" customHeight="false" outlineLevel="0" collapsed="false">
      <c r="A1" s="17" t="s">
        <v>62</v>
      </c>
      <c r="B1" s="17" t="s">
        <v>63</v>
      </c>
      <c r="C1" s="17" t="s">
        <v>64</v>
      </c>
      <c r="D1" s="17" t="s">
        <v>65</v>
      </c>
      <c r="E1" s="17" t="s">
        <v>66</v>
      </c>
      <c r="F1" s="17" t="s">
        <v>67</v>
      </c>
      <c r="G1" s="17" t="s">
        <v>68</v>
      </c>
      <c r="H1" s="17" t="s">
        <v>69</v>
      </c>
      <c r="I1" s="17" t="s">
        <v>70</v>
      </c>
      <c r="J1" s="17" t="s">
        <v>71</v>
      </c>
      <c r="K1" s="17" t="s">
        <v>72</v>
      </c>
      <c r="L1" s="17" t="s">
        <v>73</v>
      </c>
      <c r="M1" s="17" t="s">
        <v>74</v>
      </c>
      <c r="N1" s="17" t="s">
        <v>75</v>
      </c>
      <c r="O1" s="17" t="s">
        <v>76</v>
      </c>
      <c r="P1" s="17" t="s">
        <v>77</v>
      </c>
      <c r="Q1" s="17" t="s">
        <v>78</v>
      </c>
      <c r="R1" s="17" t="s">
        <v>79</v>
      </c>
      <c r="S1" s="17" t="s">
        <v>80</v>
      </c>
      <c r="T1" s="17" t="s">
        <v>81</v>
      </c>
      <c r="U1" s="17" t="s">
        <v>82</v>
      </c>
      <c r="V1" s="17" t="s">
        <v>83</v>
      </c>
      <c r="W1" s="17" t="s">
        <v>84</v>
      </c>
      <c r="X1" s="17" t="s">
        <v>85</v>
      </c>
      <c r="Y1" s="17" t="s">
        <v>86</v>
      </c>
      <c r="Z1" s="17" t="s">
        <v>87</v>
      </c>
      <c r="AA1" s="17" t="s">
        <v>88</v>
      </c>
      <c r="AB1" s="17" t="s">
        <v>89</v>
      </c>
      <c r="AC1" s="17" t="s">
        <v>90</v>
      </c>
      <c r="AD1" s="17" t="s">
        <v>91</v>
      </c>
      <c r="AE1" s="17" t="s">
        <v>92</v>
      </c>
      <c r="AF1" s="17" t="s">
        <v>93</v>
      </c>
      <c r="AG1" s="17" t="s">
        <v>94</v>
      </c>
      <c r="AH1" s="17" t="s">
        <v>95</v>
      </c>
      <c r="AI1" s="17" t="s">
        <v>96</v>
      </c>
      <c r="AJ1" s="17" t="s">
        <v>97</v>
      </c>
      <c r="AK1" s="17" t="s">
        <v>98</v>
      </c>
      <c r="AL1" s="17" t="s">
        <v>99</v>
      </c>
      <c r="AM1" s="17" t="s">
        <v>100</v>
      </c>
      <c r="AN1" s="17" t="s">
        <v>101</v>
      </c>
      <c r="AO1" s="17" t="s">
        <v>102</v>
      </c>
      <c r="AP1" s="17" t="s">
        <v>103</v>
      </c>
      <c r="AQ1" s="17" t="s">
        <v>104</v>
      </c>
      <c r="AR1" s="17" t="s">
        <v>105</v>
      </c>
      <c r="AS1" s="17" t="s">
        <v>106</v>
      </c>
      <c r="AT1" s="17" t="s">
        <v>107</v>
      </c>
      <c r="AU1" s="17" t="s">
        <v>108</v>
      </c>
      <c r="AV1" s="17" t="s">
        <v>109</v>
      </c>
      <c r="AW1" s="17" t="s">
        <v>110</v>
      </c>
      <c r="AX1" s="17" t="s">
        <v>111</v>
      </c>
      <c r="AY1" s="17" t="s">
        <v>112</v>
      </c>
    </row>
    <row r="2" customFormat="false" ht="15" hidden="false" customHeight="false" outlineLevel="0" collapsed="false">
      <c r="A2" s="18" t="n">
        <v>1</v>
      </c>
      <c r="B2" s="18" t="s">
        <v>113</v>
      </c>
      <c r="C2" s="18" t="s">
        <v>114</v>
      </c>
      <c r="D2" s="18" t="s">
        <v>115</v>
      </c>
      <c r="E2" s="18" t="n">
        <v>0.5</v>
      </c>
      <c r="F2" s="18" t="n">
        <v>-1.25</v>
      </c>
      <c r="G2" s="18" t="n">
        <v>-0.93</v>
      </c>
      <c r="H2" s="18" t="n">
        <v>0</v>
      </c>
      <c r="I2" s="18" t="n">
        <v>0.5</v>
      </c>
      <c r="J2" s="18" t="n">
        <v>0.5</v>
      </c>
      <c r="K2" s="18" t="n">
        <v>3</v>
      </c>
      <c r="L2" s="18" t="n">
        <v>24</v>
      </c>
      <c r="M2" s="18" t="n">
        <v>20260905</v>
      </c>
      <c r="N2" s="18" t="n">
        <v>0</v>
      </c>
      <c r="O2" s="19" t="n">
        <v>0.7271</v>
      </c>
      <c r="P2" s="18" t="s">
        <v>116</v>
      </c>
      <c r="Q2" s="19" t="n">
        <v>0.755</v>
      </c>
      <c r="R2" s="19" t="n">
        <v>0.699</v>
      </c>
      <c r="S2" s="19" t="n">
        <v>0.727</v>
      </c>
      <c r="T2" s="19" t="n">
        <v>0.959</v>
      </c>
      <c r="U2" s="18" t="n">
        <v>11.3</v>
      </c>
      <c r="V2" s="19" t="n">
        <v>0.185</v>
      </c>
      <c r="W2" s="19" t="n">
        <v>0.61</v>
      </c>
      <c r="X2" s="19" t="n">
        <v>0.398</v>
      </c>
      <c r="Y2" s="19" t="n">
        <v>0.937</v>
      </c>
      <c r="Z2" s="18" t="n">
        <v>13.7</v>
      </c>
      <c r="AA2" s="18" t="n">
        <v>46</v>
      </c>
      <c r="AB2" s="18" t="n">
        <v>0.96</v>
      </c>
      <c r="AC2" s="18" t="n">
        <v>1.97</v>
      </c>
      <c r="AD2" s="18" t="n">
        <v>22.3</v>
      </c>
      <c r="AE2" s="18" t="n">
        <v>11.7</v>
      </c>
      <c r="AF2" s="18" t="n">
        <v>-0.034</v>
      </c>
      <c r="AG2" s="18" t="n">
        <v>0.33</v>
      </c>
      <c r="AH2" s="18" t="n">
        <v>9.4</v>
      </c>
      <c r="AI2" s="18" t="n">
        <v>64</v>
      </c>
      <c r="AJ2" s="18" t="n">
        <v>2147</v>
      </c>
      <c r="AK2" s="18" t="n">
        <v>186</v>
      </c>
      <c r="AL2" s="18" t="n">
        <v>15</v>
      </c>
      <c r="AM2" s="18" t="n">
        <v>19</v>
      </c>
      <c r="AN2" s="20" t="n">
        <v>-0.0409</v>
      </c>
      <c r="AO2" s="20" t="n">
        <v>0.0351</v>
      </c>
      <c r="AP2" s="20" t="n">
        <v>-0.0811</v>
      </c>
      <c r="AQ2" s="20" t="n">
        <v>-0.0116</v>
      </c>
      <c r="AR2" s="18" t="n">
        <v>25</v>
      </c>
      <c r="AS2" s="18" t="n">
        <v>10</v>
      </c>
      <c r="AT2" s="18" t="n">
        <v>9</v>
      </c>
      <c r="AU2" s="18" t="n">
        <v>0</v>
      </c>
      <c r="AV2" s="18" t="n">
        <v>77</v>
      </c>
      <c r="AW2" s="18" t="n">
        <v>16.3</v>
      </c>
      <c r="AX2" s="18" t="n">
        <v>155.6</v>
      </c>
      <c r="AY2" s="18" t="s">
        <v>117</v>
      </c>
    </row>
    <row r="3" customFormat="false" ht="15" hidden="false" customHeight="false" outlineLevel="0" collapsed="false">
      <c r="A3" s="18" t="n">
        <v>2</v>
      </c>
      <c r="B3" s="18" t="s">
        <v>118</v>
      </c>
      <c r="C3" s="18" t="s">
        <v>114</v>
      </c>
      <c r="D3" s="18" t="s">
        <v>119</v>
      </c>
      <c r="E3" s="18" t="n">
        <v>0.6</v>
      </c>
      <c r="F3" s="18" t="n">
        <v>-1.25</v>
      </c>
      <c r="G3" s="18" t="n">
        <v>-0.93</v>
      </c>
      <c r="H3" s="18" t="n">
        <v>0</v>
      </c>
      <c r="I3" s="18" t="n">
        <v>0.7</v>
      </c>
      <c r="J3" s="18" t="n">
        <v>0.5</v>
      </c>
      <c r="K3" s="18" t="n">
        <v>3</v>
      </c>
      <c r="L3" s="18" t="n">
        <v>24</v>
      </c>
      <c r="M3" s="18" t="n">
        <v>20260905</v>
      </c>
      <c r="N3" s="18" t="n">
        <v>0</v>
      </c>
      <c r="O3" s="19" t="n">
        <v>0.924</v>
      </c>
      <c r="P3" s="18" t="s">
        <v>116</v>
      </c>
      <c r="Q3" s="19" t="n">
        <v>0.915</v>
      </c>
      <c r="R3" s="19" t="n">
        <v>0.933</v>
      </c>
      <c r="S3" s="19" t="n">
        <v>0.924</v>
      </c>
      <c r="T3" s="19" t="n">
        <v>0.981</v>
      </c>
      <c r="U3" s="18" t="n">
        <v>8.3</v>
      </c>
      <c r="V3" s="19" t="n">
        <v>0.676</v>
      </c>
      <c r="W3" s="19" t="n">
        <v>0.801</v>
      </c>
      <c r="X3" s="19" t="n">
        <v>0.738</v>
      </c>
      <c r="Y3" s="19" t="n">
        <v>0.935</v>
      </c>
      <c r="Z3" s="18" t="n">
        <v>15.5</v>
      </c>
      <c r="AA3" s="18" t="n">
        <v>48</v>
      </c>
      <c r="AB3" s="18" t="n">
        <v>1</v>
      </c>
      <c r="AC3" s="18" t="n">
        <v>3.93</v>
      </c>
      <c r="AD3" s="18" t="n">
        <v>32.7</v>
      </c>
      <c r="AE3" s="18" t="n">
        <v>9.1</v>
      </c>
      <c r="AF3" s="18" t="n">
        <v>-0.009</v>
      </c>
      <c r="AG3" s="18" t="n">
        <v>0.46</v>
      </c>
      <c r="AH3" s="18" t="n">
        <v>7.2</v>
      </c>
      <c r="AI3" s="18" t="n">
        <v>134</v>
      </c>
      <c r="AJ3" s="18" t="n">
        <v>2089</v>
      </c>
      <c r="AK3" s="18" t="n">
        <v>195</v>
      </c>
      <c r="AL3" s="18" t="n">
        <v>1</v>
      </c>
      <c r="AM3" s="18" t="n">
        <v>19</v>
      </c>
      <c r="AN3" s="20" t="n">
        <v>-0.0268</v>
      </c>
      <c r="AO3" s="20" t="n">
        <v>0.0639</v>
      </c>
      <c r="AP3" s="20" t="n">
        <v>-0.0319</v>
      </c>
      <c r="AQ3" s="20" t="n">
        <v>0.009</v>
      </c>
      <c r="AR3" s="18" t="n">
        <v>24</v>
      </c>
      <c r="AS3" s="18" t="n">
        <v>20</v>
      </c>
      <c r="AT3" s="18" t="n">
        <v>24</v>
      </c>
      <c r="AU3" s="18" t="n">
        <v>0</v>
      </c>
      <c r="AV3" s="18" t="n">
        <v>138</v>
      </c>
      <c r="AW3" s="18" t="n">
        <v>16</v>
      </c>
      <c r="AX3" s="18" t="n">
        <v>277.1</v>
      </c>
      <c r="AY3" s="18" t="s">
        <v>120</v>
      </c>
    </row>
    <row r="4" customFormat="false" ht="15" hidden="false" customHeight="false" outlineLevel="0" collapsed="false">
      <c r="A4" s="18" t="n">
        <v>3</v>
      </c>
      <c r="B4" s="18" t="s">
        <v>121</v>
      </c>
      <c r="C4" s="18" t="s">
        <v>114</v>
      </c>
      <c r="D4" s="18" t="s">
        <v>119</v>
      </c>
      <c r="E4" s="18" t="n">
        <v>0.7</v>
      </c>
      <c r="F4" s="18" t="n">
        <v>-1.25</v>
      </c>
      <c r="G4" s="18" t="n">
        <v>-0.93</v>
      </c>
      <c r="H4" s="18" t="n">
        <v>0</v>
      </c>
      <c r="I4" s="18" t="n">
        <v>0.7</v>
      </c>
      <c r="J4" s="18" t="n">
        <v>0.5</v>
      </c>
      <c r="K4" s="18" t="n">
        <v>3</v>
      </c>
      <c r="L4" s="18" t="n">
        <v>24</v>
      </c>
      <c r="M4" s="18" t="n">
        <v>20260905</v>
      </c>
      <c r="N4" s="18" t="n">
        <v>0</v>
      </c>
      <c r="O4" s="19" t="n">
        <v>0.9632</v>
      </c>
      <c r="P4" s="18" t="s">
        <v>116</v>
      </c>
      <c r="Q4" s="19" t="n">
        <v>0.97</v>
      </c>
      <c r="R4" s="19" t="n">
        <v>0.957</v>
      </c>
      <c r="S4" s="19" t="n">
        <v>0.963</v>
      </c>
      <c r="T4" s="19" t="n">
        <v>0.987</v>
      </c>
      <c r="U4" s="18" t="n">
        <v>7.8</v>
      </c>
      <c r="V4" s="19" t="n">
        <v>0.919</v>
      </c>
      <c r="W4" s="19" t="n">
        <v>0.932</v>
      </c>
      <c r="X4" s="19" t="n">
        <v>0.925</v>
      </c>
      <c r="Y4" s="19" t="n">
        <v>0.972</v>
      </c>
      <c r="Z4" s="18" t="n">
        <v>11.2</v>
      </c>
      <c r="AA4" s="18" t="n">
        <v>46</v>
      </c>
      <c r="AB4" s="18" t="n">
        <v>0.96</v>
      </c>
      <c r="AC4" s="18" t="n">
        <v>5.26</v>
      </c>
      <c r="AD4" s="18" t="n">
        <v>41.1</v>
      </c>
      <c r="AE4" s="18" t="n">
        <v>8.9</v>
      </c>
      <c r="AF4" s="18" t="n">
        <v>0.037</v>
      </c>
      <c r="AG4" s="18" t="n">
        <v>0.58</v>
      </c>
      <c r="AH4" s="18" t="n">
        <v>6.4</v>
      </c>
      <c r="AI4" s="18" t="n">
        <v>119</v>
      </c>
      <c r="AJ4" s="18" t="n">
        <v>2100</v>
      </c>
      <c r="AK4" s="18" t="n">
        <v>191</v>
      </c>
      <c r="AL4" s="18" t="n">
        <v>1</v>
      </c>
      <c r="AM4" s="18" t="n">
        <v>1</v>
      </c>
      <c r="AN4" s="20" t="n">
        <v>-0.047</v>
      </c>
      <c r="AO4" s="20" t="n">
        <v>0.0377</v>
      </c>
      <c r="AP4" s="20" t="n">
        <v>-0.0508</v>
      </c>
      <c r="AQ4" s="20" t="n">
        <v>0.0431</v>
      </c>
      <c r="AR4" s="18" t="n">
        <v>17</v>
      </c>
      <c r="AS4" s="18" t="n">
        <v>15</v>
      </c>
      <c r="AT4" s="18" t="n">
        <v>18</v>
      </c>
      <c r="AU4" s="18" t="n">
        <v>0</v>
      </c>
      <c r="AV4" s="18" t="n">
        <v>94</v>
      </c>
      <c r="AW4" s="18" t="n">
        <v>15.4</v>
      </c>
      <c r="AX4" s="18" t="n">
        <v>110.1</v>
      </c>
      <c r="AY4" s="18" t="s">
        <v>122</v>
      </c>
    </row>
    <row r="5" customFormat="false" ht="15" hidden="false" customHeight="false" outlineLevel="0" collapsed="false">
      <c r="A5" s="18" t="n">
        <v>4</v>
      </c>
      <c r="B5" s="18" t="s">
        <v>123</v>
      </c>
      <c r="C5" s="18" t="s">
        <v>114</v>
      </c>
      <c r="D5" s="18" t="s">
        <v>67</v>
      </c>
      <c r="E5" s="18" t="n">
        <v>0.5</v>
      </c>
      <c r="F5" s="18" t="n">
        <v>-1.5</v>
      </c>
      <c r="G5" s="18" t="n">
        <v>-0.93</v>
      </c>
      <c r="H5" s="18" t="n">
        <v>0</v>
      </c>
      <c r="I5" s="18" t="n">
        <v>0.5</v>
      </c>
      <c r="J5" s="18" t="n">
        <v>0.5</v>
      </c>
      <c r="K5" s="18" t="n">
        <v>3</v>
      </c>
      <c r="L5" s="18" t="n">
        <v>24</v>
      </c>
      <c r="M5" s="18" t="n">
        <v>20260905</v>
      </c>
      <c r="N5" s="18" t="n">
        <v>0</v>
      </c>
      <c r="O5" s="19" t="n">
        <v>0.8835</v>
      </c>
      <c r="P5" s="18" t="s">
        <v>116</v>
      </c>
      <c r="Q5" s="19" t="n">
        <v>0.911</v>
      </c>
      <c r="R5" s="19" t="n">
        <v>0.856</v>
      </c>
      <c r="S5" s="19" t="n">
        <v>0.883</v>
      </c>
      <c r="T5" s="19" t="n">
        <v>0.984</v>
      </c>
      <c r="U5" s="18" t="n">
        <v>7.6</v>
      </c>
      <c r="V5" s="19" t="n">
        <v>0.167</v>
      </c>
      <c r="W5" s="19" t="n">
        <v>0.562</v>
      </c>
      <c r="X5" s="19" t="n">
        <v>0.365</v>
      </c>
      <c r="Y5" s="19" t="n">
        <v>0.934</v>
      </c>
      <c r="Z5" s="18" t="n">
        <v>14.7</v>
      </c>
      <c r="AA5" s="18" t="n">
        <v>44</v>
      </c>
      <c r="AB5" s="18" t="n">
        <v>0.92</v>
      </c>
      <c r="AC5" s="18" t="n">
        <v>2.84</v>
      </c>
      <c r="AD5" s="18" t="n">
        <v>21.5</v>
      </c>
      <c r="AE5" s="18" t="n">
        <v>10.3</v>
      </c>
      <c r="AF5" s="18" t="n">
        <v>-0.012</v>
      </c>
      <c r="AG5" s="18" t="n">
        <v>0.67</v>
      </c>
      <c r="AH5" s="18" t="n">
        <v>8.4</v>
      </c>
      <c r="AI5" s="18" t="n">
        <v>84</v>
      </c>
      <c r="AJ5" s="18" t="n">
        <v>1784</v>
      </c>
      <c r="AK5" s="18" t="n">
        <v>195</v>
      </c>
      <c r="AL5" s="18" t="n">
        <v>1</v>
      </c>
      <c r="AM5" s="18" t="n">
        <v>7</v>
      </c>
      <c r="AN5" s="20" t="n">
        <v>-0.0659</v>
      </c>
      <c r="AO5" s="20" t="n">
        <v>0.0544</v>
      </c>
      <c r="AP5" s="20" t="n">
        <v>-0.0623</v>
      </c>
      <c r="AQ5" s="20" t="n">
        <v>0.0474</v>
      </c>
      <c r="AR5" s="18" t="n">
        <v>32</v>
      </c>
      <c r="AS5" s="18" t="n">
        <v>23</v>
      </c>
      <c r="AT5" s="18" t="n">
        <v>21</v>
      </c>
      <c r="AU5" s="18" t="n">
        <v>0</v>
      </c>
      <c r="AV5" s="18" t="n">
        <v>103</v>
      </c>
      <c r="AW5" s="18" t="n">
        <v>15.5</v>
      </c>
      <c r="AX5" s="18" t="n">
        <v>180.5</v>
      </c>
      <c r="AY5" s="18" t="s">
        <v>124</v>
      </c>
    </row>
    <row r="6" customFormat="false" ht="15" hidden="false" customHeight="false" outlineLevel="0" collapsed="false">
      <c r="A6" s="18" t="n">
        <v>5</v>
      </c>
      <c r="B6" s="18" t="s">
        <v>125</v>
      </c>
      <c r="C6" s="18" t="s">
        <v>114</v>
      </c>
      <c r="D6" s="18" t="s">
        <v>67</v>
      </c>
      <c r="E6" s="18" t="n">
        <v>0.6</v>
      </c>
      <c r="F6" s="18" t="n">
        <v>-1.5</v>
      </c>
      <c r="G6" s="18" t="n">
        <v>-0.93</v>
      </c>
      <c r="H6" s="18" t="n">
        <v>0</v>
      </c>
      <c r="I6" s="18" t="n">
        <v>0.7</v>
      </c>
      <c r="J6" s="18" t="n">
        <v>0.5</v>
      </c>
      <c r="K6" s="18" t="n">
        <v>3</v>
      </c>
      <c r="L6" s="18" t="n">
        <v>24</v>
      </c>
      <c r="M6" s="18" t="n">
        <v>20260905</v>
      </c>
      <c r="N6" s="18" t="n">
        <v>0</v>
      </c>
      <c r="O6" s="19" t="n">
        <v>0.9317</v>
      </c>
      <c r="P6" s="18" t="s">
        <v>116</v>
      </c>
      <c r="Q6" s="19" t="n">
        <v>0.937</v>
      </c>
      <c r="R6" s="19" t="n">
        <v>0.927</v>
      </c>
      <c r="S6" s="19" t="n">
        <v>0.932</v>
      </c>
      <c r="T6" s="19" t="n">
        <v>0.983</v>
      </c>
      <c r="U6" s="18" t="n">
        <v>8.6</v>
      </c>
      <c r="V6" s="19" t="n">
        <v>0.873</v>
      </c>
      <c r="W6" s="19" t="n">
        <v>0.868</v>
      </c>
      <c r="X6" s="19" t="n">
        <v>0.871</v>
      </c>
      <c r="Y6" s="19" t="n">
        <v>0.968</v>
      </c>
      <c r="Z6" s="18" t="n">
        <v>11.8</v>
      </c>
      <c r="AA6" s="18" t="n">
        <v>48</v>
      </c>
      <c r="AB6" s="18" t="n">
        <v>1</v>
      </c>
      <c r="AC6" s="18" t="n">
        <v>3.86</v>
      </c>
      <c r="AD6" s="18" t="n">
        <v>33.1</v>
      </c>
      <c r="AE6" s="18" t="n">
        <v>11.4</v>
      </c>
      <c r="AF6" s="18" t="n">
        <v>0.005</v>
      </c>
      <c r="AG6" s="18" t="n">
        <v>0.5</v>
      </c>
      <c r="AH6" s="18" t="n">
        <v>9</v>
      </c>
      <c r="AI6" s="18" t="n">
        <v>134</v>
      </c>
      <c r="AJ6" s="18" t="n">
        <v>1722</v>
      </c>
      <c r="AK6" s="18" t="n">
        <v>206</v>
      </c>
      <c r="AL6" s="18" t="n">
        <v>6</v>
      </c>
      <c r="AM6" s="18" t="n">
        <v>7</v>
      </c>
      <c r="AN6" s="20" t="n">
        <v>-0.0513</v>
      </c>
      <c r="AO6" s="20" t="n">
        <v>0.0503</v>
      </c>
      <c r="AP6" s="20" t="n">
        <v>-0.0471</v>
      </c>
      <c r="AQ6" s="20" t="n">
        <v>0.072</v>
      </c>
      <c r="AR6" s="18" t="n">
        <v>31</v>
      </c>
      <c r="AS6" s="18" t="n">
        <v>29</v>
      </c>
      <c r="AT6" s="18" t="n">
        <v>21</v>
      </c>
      <c r="AU6" s="18" t="n">
        <v>0</v>
      </c>
      <c r="AV6" s="18" t="n">
        <v>103</v>
      </c>
      <c r="AW6" s="18" t="n">
        <v>15.4</v>
      </c>
      <c r="AX6" s="18" t="n">
        <v>119.4</v>
      </c>
      <c r="AY6" s="18" t="s">
        <v>126</v>
      </c>
    </row>
    <row r="7" customFormat="false" ht="15" hidden="false" customHeight="false" outlineLevel="0" collapsed="false">
      <c r="A7" s="18" t="n">
        <v>6</v>
      </c>
      <c r="B7" s="18" t="s">
        <v>127</v>
      </c>
      <c r="C7" s="18" t="s">
        <v>114</v>
      </c>
      <c r="D7" s="18" t="s">
        <v>68</v>
      </c>
      <c r="E7" s="18" t="n">
        <v>0.5</v>
      </c>
      <c r="F7" s="18" t="n">
        <v>-1.25</v>
      </c>
      <c r="G7" s="18" t="n">
        <v>-1.13</v>
      </c>
      <c r="H7" s="18" t="n">
        <v>-0.2</v>
      </c>
      <c r="I7" s="18" t="n">
        <v>0.5</v>
      </c>
      <c r="J7" s="18" t="n">
        <v>0.5</v>
      </c>
      <c r="K7" s="18" t="n">
        <v>3</v>
      </c>
      <c r="L7" s="18" t="n">
        <v>24</v>
      </c>
      <c r="M7" s="18" t="n">
        <v>20260905</v>
      </c>
      <c r="N7" s="18" t="n">
        <v>0</v>
      </c>
      <c r="O7" s="19" t="n">
        <v>0.8515</v>
      </c>
      <c r="P7" s="18" t="s">
        <v>116</v>
      </c>
      <c r="Q7" s="19" t="n">
        <v>0.762</v>
      </c>
      <c r="R7" s="19" t="n">
        <v>0.941</v>
      </c>
      <c r="S7" s="19" t="n">
        <v>0.851</v>
      </c>
      <c r="T7" s="19" t="n">
        <v>0.983</v>
      </c>
      <c r="U7" s="18" t="n">
        <v>7.5</v>
      </c>
      <c r="V7" s="19" t="n">
        <v>0.411</v>
      </c>
      <c r="W7" s="19" t="n">
        <v>0.722</v>
      </c>
      <c r="X7" s="19" t="n">
        <v>0.567</v>
      </c>
      <c r="Y7" s="19" t="n">
        <v>0.96</v>
      </c>
      <c r="Z7" s="18" t="n">
        <v>11.1</v>
      </c>
      <c r="AA7" s="18" t="n">
        <v>38</v>
      </c>
      <c r="AB7" s="18" t="n">
        <v>0.79</v>
      </c>
      <c r="AC7" s="18" t="n">
        <v>2.93</v>
      </c>
      <c r="AD7" s="18" t="n">
        <v>22.1</v>
      </c>
      <c r="AE7" s="18" t="n">
        <v>8.9</v>
      </c>
      <c r="AF7" s="18" t="n">
        <v>0.011</v>
      </c>
      <c r="AG7" s="18" t="n">
        <v>0.46</v>
      </c>
      <c r="AH7" s="18" t="n">
        <v>6.2</v>
      </c>
      <c r="AI7" s="18" t="n">
        <v>64</v>
      </c>
      <c r="AJ7" s="18" t="n">
        <v>2292</v>
      </c>
      <c r="AK7" s="18" t="n">
        <v>193</v>
      </c>
      <c r="AL7" s="18" t="n">
        <v>3</v>
      </c>
      <c r="AM7" s="18" t="n">
        <v>11</v>
      </c>
      <c r="AN7" s="20" t="n">
        <v>-0.024</v>
      </c>
      <c r="AO7" s="20" t="n">
        <v>0.023</v>
      </c>
      <c r="AP7" s="20" t="n">
        <v>-0.0348</v>
      </c>
      <c r="AQ7" s="20" t="n">
        <v>-0.0105</v>
      </c>
      <c r="AR7" s="18" t="n">
        <v>22</v>
      </c>
      <c r="AS7" s="18" t="n">
        <v>24</v>
      </c>
      <c r="AT7" s="18" t="n">
        <v>20</v>
      </c>
      <c r="AU7" s="18" t="n">
        <v>0</v>
      </c>
      <c r="AV7" s="18" t="n">
        <v>103</v>
      </c>
      <c r="AW7" s="18" t="n">
        <v>15.9</v>
      </c>
      <c r="AX7" s="18" t="n">
        <v>181.2</v>
      </c>
      <c r="AY7" s="18" t="s">
        <v>128</v>
      </c>
    </row>
    <row r="8" customFormat="false" ht="15" hidden="false" customHeight="false" outlineLevel="0" collapsed="false">
      <c r="A8" s="18" t="n">
        <v>7</v>
      </c>
      <c r="B8" s="18" t="s">
        <v>129</v>
      </c>
      <c r="C8" s="18" t="s">
        <v>114</v>
      </c>
      <c r="D8" s="18" t="s">
        <v>68</v>
      </c>
      <c r="E8" s="18" t="n">
        <v>0.5</v>
      </c>
      <c r="F8" s="18" t="n">
        <v>-1.25</v>
      </c>
      <c r="G8" s="18" t="n">
        <v>-0.83</v>
      </c>
      <c r="H8" s="18" t="n">
        <v>0.1</v>
      </c>
      <c r="I8" s="18" t="n">
        <v>0.5</v>
      </c>
      <c r="J8" s="18" t="n">
        <v>0.5</v>
      </c>
      <c r="K8" s="18" t="n">
        <v>3</v>
      </c>
      <c r="L8" s="18" t="n">
        <v>24</v>
      </c>
      <c r="M8" s="18" t="n">
        <v>20260905</v>
      </c>
      <c r="N8" s="18" t="n">
        <v>0</v>
      </c>
      <c r="O8" s="19" t="n">
        <v>0.8825</v>
      </c>
      <c r="P8" s="18" t="s">
        <v>116</v>
      </c>
      <c r="Q8" s="19" t="n">
        <v>0.918</v>
      </c>
      <c r="R8" s="19" t="n">
        <v>0.847</v>
      </c>
      <c r="S8" s="19" t="n">
        <v>0.882</v>
      </c>
      <c r="T8" s="19" t="n">
        <v>0.982</v>
      </c>
      <c r="U8" s="18" t="n">
        <v>7.9</v>
      </c>
      <c r="V8" s="19" t="n">
        <v>0.4</v>
      </c>
      <c r="W8" s="19" t="n">
        <v>0.623</v>
      </c>
      <c r="X8" s="19" t="n">
        <v>0.512</v>
      </c>
      <c r="Y8" s="19" t="n">
        <v>0.925</v>
      </c>
      <c r="Z8" s="18" t="n">
        <v>15.9</v>
      </c>
      <c r="AA8" s="18" t="n">
        <v>48</v>
      </c>
      <c r="AB8" s="18" t="n">
        <v>1</v>
      </c>
      <c r="AC8" s="18" t="n">
        <v>2.63</v>
      </c>
      <c r="AD8" s="18" t="n">
        <v>20.6</v>
      </c>
      <c r="AE8" s="18" t="n">
        <v>10.6</v>
      </c>
      <c r="AF8" s="18" t="n">
        <v>-0.003</v>
      </c>
      <c r="AG8" s="18" t="n">
        <v>0.71</v>
      </c>
      <c r="AH8" s="18" t="n">
        <v>9.7</v>
      </c>
      <c r="AI8" s="18" t="n">
        <v>57</v>
      </c>
      <c r="AJ8" s="18" t="n">
        <v>2075</v>
      </c>
      <c r="AK8" s="18" t="n">
        <v>183</v>
      </c>
      <c r="AL8" s="18" t="n">
        <v>2</v>
      </c>
      <c r="AM8" s="18" t="n">
        <v>16</v>
      </c>
      <c r="AN8" s="20" t="n">
        <v>-0.0411</v>
      </c>
      <c r="AO8" s="20" t="n">
        <v>0.0466</v>
      </c>
      <c r="AP8" s="20" t="n">
        <v>-0.0437</v>
      </c>
      <c r="AQ8" s="20" t="n">
        <v>0.0188</v>
      </c>
      <c r="AR8" s="18" t="n">
        <v>31</v>
      </c>
      <c r="AS8" s="18" t="n">
        <v>15</v>
      </c>
      <c r="AT8" s="18" t="n">
        <v>28</v>
      </c>
      <c r="AU8" s="18" t="n">
        <v>0</v>
      </c>
      <c r="AV8" s="18" t="n">
        <v>86</v>
      </c>
      <c r="AW8" s="18" t="n">
        <v>15.4</v>
      </c>
      <c r="AX8" s="18" t="n">
        <v>164</v>
      </c>
      <c r="AY8" s="18" t="s">
        <v>130</v>
      </c>
    </row>
    <row r="9" customFormat="false" ht="15" hidden="false" customHeight="false" outlineLevel="0" collapsed="false">
      <c r="A9" s="18" t="n">
        <v>8</v>
      </c>
      <c r="B9" s="18" t="s">
        <v>131</v>
      </c>
      <c r="C9" s="18" t="s">
        <v>114</v>
      </c>
      <c r="D9" s="18" t="s">
        <v>132</v>
      </c>
      <c r="E9" s="18" t="n">
        <v>0.5</v>
      </c>
      <c r="F9" s="18" t="n">
        <v>-1.25</v>
      </c>
      <c r="G9" s="18" t="n">
        <v>-0.93</v>
      </c>
      <c r="H9" s="18" t="n">
        <v>0</v>
      </c>
      <c r="I9" s="18" t="n">
        <v>0.5</v>
      </c>
      <c r="J9" s="18" t="n">
        <v>0.4</v>
      </c>
      <c r="K9" s="18" t="n">
        <v>3</v>
      </c>
      <c r="L9" s="18" t="n">
        <v>24</v>
      </c>
      <c r="M9" s="18" t="n">
        <v>20260905</v>
      </c>
      <c r="N9" s="18" t="n">
        <v>0</v>
      </c>
      <c r="O9" s="19" t="n">
        <v>0.8765</v>
      </c>
      <c r="P9" s="18" t="s">
        <v>116</v>
      </c>
      <c r="Q9" s="19" t="n">
        <v>0.84</v>
      </c>
      <c r="R9" s="19" t="n">
        <v>0.913</v>
      </c>
      <c r="S9" s="19" t="n">
        <v>0.877</v>
      </c>
      <c r="T9" s="19" t="n">
        <v>0.983</v>
      </c>
      <c r="U9" s="18" t="n">
        <v>7.5</v>
      </c>
      <c r="V9" s="19" t="n">
        <v>0.697</v>
      </c>
      <c r="W9" s="19" t="n">
        <v>0.639</v>
      </c>
      <c r="X9" s="19" t="n">
        <v>0.668</v>
      </c>
      <c r="Y9" s="19" t="n">
        <v>0.963</v>
      </c>
      <c r="Z9" s="18" t="n">
        <v>10.7</v>
      </c>
      <c r="AA9" s="18" t="n">
        <v>46</v>
      </c>
      <c r="AB9" s="18" t="n">
        <v>0.96</v>
      </c>
      <c r="AC9" s="18" t="n">
        <v>2.89</v>
      </c>
      <c r="AD9" s="18" t="n">
        <v>21.8</v>
      </c>
      <c r="AE9" s="18" t="n">
        <v>12</v>
      </c>
      <c r="AF9" s="18" t="n">
        <v>-0.013</v>
      </c>
      <c r="AG9" s="18" t="n">
        <v>0.5</v>
      </c>
      <c r="AH9" s="18" t="n">
        <v>9.9</v>
      </c>
      <c r="AI9" s="18" t="n">
        <v>52</v>
      </c>
      <c r="AJ9" s="18" t="n">
        <v>2137</v>
      </c>
      <c r="AK9" s="18" t="n">
        <v>191</v>
      </c>
      <c r="AL9" s="18" t="n">
        <v>5</v>
      </c>
      <c r="AM9" s="18" t="n">
        <v>17</v>
      </c>
      <c r="AN9" s="20" t="n">
        <v>-0.0224</v>
      </c>
      <c r="AO9" s="20" t="n">
        <v>0.0543</v>
      </c>
      <c r="AP9" s="20" t="n">
        <v>-0.0505</v>
      </c>
      <c r="AQ9" s="20" t="n">
        <v>0.0382</v>
      </c>
      <c r="AR9" s="18" t="n">
        <v>46</v>
      </c>
      <c r="AS9" s="18" t="n">
        <v>25</v>
      </c>
      <c r="AT9" s="18" t="n">
        <v>15</v>
      </c>
      <c r="AU9" s="18" t="n">
        <v>0</v>
      </c>
      <c r="AV9" s="18" t="n">
        <v>50</v>
      </c>
      <c r="AW9" s="18" t="n">
        <v>15.3</v>
      </c>
      <c r="AX9" s="18" t="n">
        <v>67</v>
      </c>
      <c r="AY9" s="18" t="s">
        <v>133</v>
      </c>
    </row>
    <row r="10" customFormat="false" ht="15" hidden="false" customHeight="false" outlineLevel="0" collapsed="false">
      <c r="A10" s="18" t="n">
        <v>9</v>
      </c>
      <c r="B10" s="18" t="s">
        <v>134</v>
      </c>
      <c r="C10" s="18" t="s">
        <v>114</v>
      </c>
      <c r="D10" s="18" t="s">
        <v>132</v>
      </c>
      <c r="E10" s="18" t="n">
        <v>0.5</v>
      </c>
      <c r="F10" s="18" t="n">
        <v>-1.25</v>
      </c>
      <c r="G10" s="18" t="n">
        <v>-0.93</v>
      </c>
      <c r="H10" s="18" t="n">
        <v>0</v>
      </c>
      <c r="I10" s="18" t="n">
        <v>0.6</v>
      </c>
      <c r="J10" s="18" t="n">
        <v>0.6</v>
      </c>
      <c r="K10" s="18" t="n">
        <v>3</v>
      </c>
      <c r="L10" s="18" t="n">
        <v>24</v>
      </c>
      <c r="M10" s="18" t="n">
        <v>20260905</v>
      </c>
      <c r="N10" s="18" t="n">
        <v>0</v>
      </c>
      <c r="O10" s="19" t="n">
        <v>0.8631</v>
      </c>
      <c r="P10" s="18" t="s">
        <v>116</v>
      </c>
      <c r="Q10" s="19" t="n">
        <v>0.851</v>
      </c>
      <c r="R10" s="19" t="n">
        <v>0.875</v>
      </c>
      <c r="S10" s="19" t="n">
        <v>0.863</v>
      </c>
      <c r="T10" s="19" t="n">
        <v>0.981</v>
      </c>
      <c r="U10" s="18" t="n">
        <v>8</v>
      </c>
      <c r="V10" s="19" t="n">
        <v>0.83</v>
      </c>
      <c r="W10" s="19" t="n">
        <v>0.542</v>
      </c>
      <c r="X10" s="19" t="n">
        <v>0.686</v>
      </c>
      <c r="Y10" s="19" t="n">
        <v>0.956</v>
      </c>
      <c r="Z10" s="18" t="n">
        <v>12.1</v>
      </c>
      <c r="AA10" s="18" t="n">
        <v>48</v>
      </c>
      <c r="AB10" s="18" t="n">
        <v>1</v>
      </c>
      <c r="AC10" s="18" t="n">
        <v>2.74</v>
      </c>
      <c r="AD10" s="18" t="n">
        <v>22</v>
      </c>
      <c r="AE10" s="18" t="n">
        <v>9.5</v>
      </c>
      <c r="AF10" s="18" t="n">
        <v>-0.007</v>
      </c>
      <c r="AG10" s="18" t="n">
        <v>0.5</v>
      </c>
      <c r="AH10" s="18" t="n">
        <v>8.1</v>
      </c>
      <c r="AI10" s="18" t="n">
        <v>76</v>
      </c>
      <c r="AJ10" s="18" t="n">
        <v>2151</v>
      </c>
      <c r="AK10" s="18" t="n">
        <v>196</v>
      </c>
      <c r="AL10" s="18" t="n">
        <v>1</v>
      </c>
      <c r="AM10" s="18" t="n">
        <v>22</v>
      </c>
      <c r="AN10" s="20" t="n">
        <v>-0.0601</v>
      </c>
      <c r="AO10" s="20" t="n">
        <v>0.0433</v>
      </c>
      <c r="AP10" s="20" t="n">
        <v>-0.0448</v>
      </c>
      <c r="AQ10" s="20" t="n">
        <v>0.0282</v>
      </c>
      <c r="AR10" s="18" t="n">
        <v>14</v>
      </c>
      <c r="AS10" s="18" t="n">
        <v>6</v>
      </c>
      <c r="AT10" s="18" t="n">
        <v>15</v>
      </c>
      <c r="AU10" s="18" t="n">
        <v>0</v>
      </c>
      <c r="AV10" s="18" t="n">
        <v>83</v>
      </c>
      <c r="AW10" s="18" t="n">
        <v>15.1</v>
      </c>
      <c r="AX10" s="18" t="n">
        <v>282.4</v>
      </c>
      <c r="AY10" s="18" t="s">
        <v>135</v>
      </c>
    </row>
    <row r="11" customFormat="false" ht="15" hidden="false" customHeight="false" outlineLevel="0" collapsed="false">
      <c r="A11" s="18" t="n">
        <v>10</v>
      </c>
      <c r="B11" s="18" t="s">
        <v>136</v>
      </c>
      <c r="C11" s="18" t="s">
        <v>114</v>
      </c>
      <c r="D11" s="18" t="s">
        <v>67</v>
      </c>
      <c r="E11" s="18" t="n">
        <v>0.5</v>
      </c>
      <c r="F11" s="18" t="n">
        <v>-1</v>
      </c>
      <c r="G11" s="18" t="n">
        <v>-0.93</v>
      </c>
      <c r="H11" s="18" t="n">
        <v>0</v>
      </c>
      <c r="I11" s="18" t="n">
        <v>0.5</v>
      </c>
      <c r="J11" s="18" t="n">
        <v>0.5</v>
      </c>
      <c r="K11" s="18" t="n">
        <v>3</v>
      </c>
      <c r="L11" s="18" t="n">
        <v>24</v>
      </c>
      <c r="M11" s="18" t="n">
        <v>20260905</v>
      </c>
      <c r="N11" s="18" t="n">
        <v>0</v>
      </c>
      <c r="O11" s="19" t="n">
        <v>0.7624</v>
      </c>
      <c r="P11" s="18" t="s">
        <v>116</v>
      </c>
      <c r="Q11" s="19" t="n">
        <v>0.682</v>
      </c>
      <c r="R11" s="19" t="n">
        <v>0.843</v>
      </c>
      <c r="S11" s="19" t="n">
        <v>0.762</v>
      </c>
      <c r="T11" s="19" t="n">
        <v>0.973</v>
      </c>
      <c r="U11" s="18" t="n">
        <v>9.3</v>
      </c>
      <c r="V11" s="19" t="n">
        <v>0.292</v>
      </c>
      <c r="W11" s="19" t="n">
        <v>0.599</v>
      </c>
      <c r="X11" s="19" t="n">
        <v>0.446</v>
      </c>
      <c r="Y11" s="19" t="n">
        <v>0.936</v>
      </c>
      <c r="Z11" s="18" t="n">
        <v>14.3</v>
      </c>
      <c r="AA11" s="18" t="n">
        <v>48</v>
      </c>
      <c r="AB11" s="18" t="n">
        <v>1</v>
      </c>
      <c r="AC11" s="18" t="n">
        <v>2.05</v>
      </c>
      <c r="AD11" s="18" t="n">
        <v>19.1</v>
      </c>
      <c r="AE11" s="18" t="n">
        <v>9.7</v>
      </c>
      <c r="AF11" s="18" t="n">
        <v>0.055</v>
      </c>
      <c r="AG11" s="18" t="n">
        <v>0.5</v>
      </c>
      <c r="AH11" s="18" t="n">
        <v>9.6</v>
      </c>
      <c r="AI11" s="18" t="n">
        <v>62</v>
      </c>
      <c r="AJ11" s="18" t="n">
        <v>2418</v>
      </c>
      <c r="AK11" s="18" t="n">
        <v>171</v>
      </c>
      <c r="AL11" s="18" t="n">
        <v>8</v>
      </c>
      <c r="AM11" s="18" t="n">
        <v>13</v>
      </c>
      <c r="AN11" s="20" t="n">
        <v>-0.0347</v>
      </c>
      <c r="AO11" s="20" t="n">
        <v>0.0042</v>
      </c>
      <c r="AP11" s="20" t="n">
        <v>-0.0264</v>
      </c>
      <c r="AQ11" s="20" t="n">
        <v>0.0121</v>
      </c>
      <c r="AR11" s="18" t="n">
        <v>25</v>
      </c>
      <c r="AS11" s="18" t="n">
        <v>26</v>
      </c>
      <c r="AT11" s="18" t="n">
        <v>10</v>
      </c>
      <c r="AU11" s="18" t="n">
        <v>0</v>
      </c>
      <c r="AV11" s="18" t="n">
        <v>93</v>
      </c>
      <c r="AW11" s="18" t="n">
        <v>15.5</v>
      </c>
      <c r="AX11" s="18" t="n">
        <v>109.6</v>
      </c>
      <c r="AY11" s="18" t="s">
        <v>137</v>
      </c>
    </row>
    <row r="12" customFormat="false" ht="15" hidden="false" customHeight="false" outlineLevel="0" collapsed="false">
      <c r="A12" s="18" t="n">
        <v>11</v>
      </c>
      <c r="B12" s="18" t="s">
        <v>138</v>
      </c>
      <c r="C12" s="18" t="s">
        <v>114</v>
      </c>
      <c r="D12" s="18" t="s">
        <v>119</v>
      </c>
      <c r="E12" s="18" t="n">
        <v>0.75</v>
      </c>
      <c r="F12" s="18" t="n">
        <v>-1.25</v>
      </c>
      <c r="G12" s="18" t="n">
        <v>-0.93</v>
      </c>
      <c r="H12" s="18" t="n">
        <v>0</v>
      </c>
      <c r="I12" s="18" t="n">
        <v>0.8</v>
      </c>
      <c r="J12" s="18" t="n">
        <v>0.5</v>
      </c>
      <c r="K12" s="18" t="n">
        <v>3</v>
      </c>
      <c r="L12" s="18" t="n">
        <v>24</v>
      </c>
      <c r="M12" s="18" t="n">
        <v>20260905</v>
      </c>
      <c r="N12" s="18" t="n">
        <v>0</v>
      </c>
      <c r="O12" s="19" t="n">
        <v>0.9603</v>
      </c>
      <c r="P12" s="18" t="s">
        <v>116</v>
      </c>
      <c r="Q12" s="19" t="n">
        <v>0.957</v>
      </c>
      <c r="R12" s="19" t="n">
        <v>0.964</v>
      </c>
      <c r="S12" s="19" t="n">
        <v>0.96</v>
      </c>
      <c r="T12" s="19" t="n">
        <v>0.983</v>
      </c>
      <c r="U12" s="18" t="n">
        <v>9.3</v>
      </c>
      <c r="V12" s="19" t="n">
        <v>0.893</v>
      </c>
      <c r="W12" s="19" t="n">
        <v>0.968</v>
      </c>
      <c r="X12" s="19" t="n">
        <v>0.93</v>
      </c>
      <c r="Y12" s="19" t="n">
        <v>0.97</v>
      </c>
      <c r="Z12" s="18" t="n">
        <v>12.2</v>
      </c>
      <c r="AA12" s="18" t="n">
        <v>48</v>
      </c>
      <c r="AB12" s="18" t="n">
        <v>1</v>
      </c>
      <c r="AC12" s="18" t="n">
        <v>5.25</v>
      </c>
      <c r="AD12" s="18" t="n">
        <v>48.7</v>
      </c>
      <c r="AE12" s="18" t="n">
        <v>10.6</v>
      </c>
      <c r="AF12" s="18" t="n">
        <v>-0.009</v>
      </c>
      <c r="AG12" s="18" t="n">
        <v>0.58</v>
      </c>
      <c r="AH12" s="18" t="n">
        <v>5.6</v>
      </c>
      <c r="AI12" s="18" t="n">
        <v>147</v>
      </c>
      <c r="AJ12" s="18" t="n">
        <v>2060</v>
      </c>
      <c r="AK12" s="18" t="n">
        <v>194</v>
      </c>
      <c r="AL12" s="18" t="n">
        <v>2</v>
      </c>
      <c r="AM12" s="18" t="n">
        <v>2</v>
      </c>
      <c r="AN12" s="20" t="n">
        <v>-0.0569</v>
      </c>
      <c r="AO12" s="20" t="n">
        <v>0.0438</v>
      </c>
      <c r="AP12" s="20" t="n">
        <v>-0.0286</v>
      </c>
      <c r="AQ12" s="20" t="n">
        <v>0.0408</v>
      </c>
      <c r="AR12" s="18" t="n">
        <v>21</v>
      </c>
      <c r="AS12" s="18" t="n">
        <v>12</v>
      </c>
      <c r="AT12" s="18" t="n">
        <v>28</v>
      </c>
      <c r="AU12" s="18" t="n">
        <v>0</v>
      </c>
      <c r="AV12" s="18" t="n">
        <v>134</v>
      </c>
      <c r="AW12" s="18" t="n">
        <v>16.3</v>
      </c>
      <c r="AX12" s="18" t="n">
        <v>212.6</v>
      </c>
      <c r="AY12" s="18" t="s">
        <v>139</v>
      </c>
    </row>
    <row r="13" customFormat="false" ht="15" hidden="false" customHeight="false" outlineLevel="0" collapsed="false">
      <c r="A13" s="18" t="n">
        <v>12</v>
      </c>
      <c r="B13" s="18" t="s">
        <v>140</v>
      </c>
      <c r="C13" s="18" t="s">
        <v>114</v>
      </c>
      <c r="D13" s="18" t="s">
        <v>119</v>
      </c>
      <c r="E13" s="18" t="n">
        <v>0.7</v>
      </c>
      <c r="F13" s="18" t="n">
        <v>-1.25</v>
      </c>
      <c r="G13" s="18" t="n">
        <v>-0.93</v>
      </c>
      <c r="H13" s="18" t="n">
        <v>0</v>
      </c>
      <c r="I13" s="18" t="n">
        <v>0.7</v>
      </c>
      <c r="J13" s="18" t="n">
        <v>0.6</v>
      </c>
      <c r="K13" s="18" t="n">
        <v>3</v>
      </c>
      <c r="L13" s="18" t="n">
        <v>24</v>
      </c>
      <c r="M13" s="18" t="n">
        <v>20260905</v>
      </c>
      <c r="N13" s="18" t="n">
        <v>0</v>
      </c>
      <c r="O13" s="19" t="n">
        <v>0.9797</v>
      </c>
      <c r="P13" s="18" t="s">
        <v>116</v>
      </c>
      <c r="Q13" s="19" t="n">
        <v>0.987</v>
      </c>
      <c r="R13" s="19" t="n">
        <v>0.972</v>
      </c>
      <c r="S13" s="19" t="n">
        <v>0.98</v>
      </c>
      <c r="T13" s="19" t="n">
        <v>0.993</v>
      </c>
      <c r="U13" s="18" t="n">
        <v>5.6</v>
      </c>
      <c r="V13" s="19" t="n">
        <v>0.914</v>
      </c>
      <c r="W13" s="19" t="n">
        <v>0.955</v>
      </c>
      <c r="X13" s="19" t="n">
        <v>0.934</v>
      </c>
      <c r="Y13" s="19" t="n">
        <v>0.977</v>
      </c>
      <c r="Z13" s="18" t="n">
        <v>10.1</v>
      </c>
      <c r="AA13" s="18" t="n">
        <v>46</v>
      </c>
      <c r="AB13" s="18" t="n">
        <v>0.96</v>
      </c>
      <c r="AC13" s="18" t="n">
        <v>7.15</v>
      </c>
      <c r="AD13" s="18" t="n">
        <v>39.8</v>
      </c>
      <c r="AE13" s="18" t="n">
        <v>7.9</v>
      </c>
      <c r="AF13" s="18" t="n">
        <v>-0.004</v>
      </c>
      <c r="AG13" s="18" t="n">
        <v>0.58</v>
      </c>
      <c r="AH13" s="18" t="n">
        <v>4.7</v>
      </c>
      <c r="AI13" s="18" t="n">
        <v>120</v>
      </c>
      <c r="AJ13" s="18" t="n">
        <v>2081</v>
      </c>
      <c r="AK13" s="18" t="n">
        <v>184</v>
      </c>
      <c r="AL13" s="18" t="n">
        <v>1</v>
      </c>
      <c r="AM13" s="18" t="n">
        <v>12</v>
      </c>
      <c r="AN13" s="20" t="n">
        <v>-0.0322</v>
      </c>
      <c r="AO13" s="20" t="n">
        <v>0.0369</v>
      </c>
      <c r="AP13" s="20" t="n">
        <v>-0.0389</v>
      </c>
      <c r="AQ13" s="20" t="n">
        <v>0.0212</v>
      </c>
      <c r="AR13" s="18" t="n">
        <v>13</v>
      </c>
      <c r="AS13" s="18" t="n">
        <v>11</v>
      </c>
      <c r="AT13" s="18" t="n">
        <v>8</v>
      </c>
      <c r="AU13" s="18" t="n">
        <v>0</v>
      </c>
      <c r="AV13" s="18" t="n">
        <v>136</v>
      </c>
      <c r="AW13" s="18" t="n">
        <v>16.6</v>
      </c>
      <c r="AX13" s="18" t="n">
        <v>214.6</v>
      </c>
      <c r="AY13" s="18" t="s">
        <v>141</v>
      </c>
    </row>
    <row r="14" customFormat="false" ht="15" hidden="false" customHeight="false" outlineLevel="0" collapsed="false">
      <c r="A14" s="18" t="n">
        <v>13</v>
      </c>
      <c r="B14" s="18" t="s">
        <v>142</v>
      </c>
      <c r="C14" s="18" t="s">
        <v>143</v>
      </c>
      <c r="D14" s="18"/>
      <c r="E14" s="18" t="n">
        <v>0.5</v>
      </c>
      <c r="F14" s="18" t="n">
        <v>-1.25</v>
      </c>
      <c r="G14" s="18" t="n">
        <v>-0.93</v>
      </c>
      <c r="H14" s="18" t="n">
        <v>0</v>
      </c>
      <c r="I14" s="18" t="n">
        <v>0.5</v>
      </c>
      <c r="J14" s="18" t="n">
        <v>0.5</v>
      </c>
      <c r="K14" s="18" t="n">
        <v>3</v>
      </c>
      <c r="L14" s="18" t="n">
        <v>24</v>
      </c>
      <c r="M14" s="18" t="n">
        <v>20260906</v>
      </c>
      <c r="N14" s="18" t="n">
        <v>0</v>
      </c>
      <c r="O14" s="19" t="n">
        <v>0.9431</v>
      </c>
      <c r="P14" s="18" t="s">
        <v>116</v>
      </c>
      <c r="Q14" s="19" t="n">
        <v>0.942</v>
      </c>
      <c r="R14" s="19" t="n">
        <v>0.944</v>
      </c>
      <c r="S14" s="19" t="n">
        <v>0.943</v>
      </c>
      <c r="T14" s="19" t="n">
        <v>0.995</v>
      </c>
      <c r="U14" s="18" t="n">
        <v>4.1</v>
      </c>
      <c r="V14" s="19" t="n">
        <v>0.918</v>
      </c>
      <c r="W14" s="19" t="n">
        <v>0.864</v>
      </c>
      <c r="X14" s="19" t="n">
        <v>0.891</v>
      </c>
      <c r="Y14" s="19" t="n">
        <v>0.99</v>
      </c>
      <c r="Z14" s="18" t="n">
        <v>5.7</v>
      </c>
      <c r="AA14" s="18" t="n">
        <v>48</v>
      </c>
      <c r="AB14" s="18" t="n">
        <v>1</v>
      </c>
      <c r="AC14" s="18" t="n">
        <v>4.3</v>
      </c>
      <c r="AD14" s="18" t="n">
        <v>17.7</v>
      </c>
      <c r="AE14" s="18" t="n">
        <v>6.5</v>
      </c>
      <c r="AF14" s="18" t="n">
        <v>-0.027</v>
      </c>
      <c r="AG14" s="18" t="n">
        <v>0.46</v>
      </c>
      <c r="AH14" s="18" t="n">
        <v>4.8</v>
      </c>
      <c r="AI14" s="18" t="n">
        <v>61</v>
      </c>
      <c r="AJ14" s="18" t="n">
        <v>2149</v>
      </c>
      <c r="AK14" s="18" t="n">
        <v>186</v>
      </c>
      <c r="AL14" s="18" t="n">
        <v>1</v>
      </c>
      <c r="AM14" s="18" t="n">
        <v>1</v>
      </c>
      <c r="AN14" s="20" t="n">
        <v>-0.0514</v>
      </c>
      <c r="AO14" s="20" t="n">
        <v>0.0414</v>
      </c>
      <c r="AP14" s="20" t="n">
        <v>-0.0512</v>
      </c>
      <c r="AQ14" s="20" t="n">
        <v>0.0253</v>
      </c>
      <c r="AR14" s="18" t="n">
        <v>13</v>
      </c>
      <c r="AS14" s="18" t="n">
        <v>15</v>
      </c>
      <c r="AT14" s="18" t="n">
        <v>14</v>
      </c>
      <c r="AU14" s="18" t="n">
        <v>0</v>
      </c>
      <c r="AV14" s="18" t="n">
        <v>77</v>
      </c>
      <c r="AW14" s="18" t="n">
        <v>15.8</v>
      </c>
      <c r="AX14" s="18" t="n">
        <v>93.8</v>
      </c>
      <c r="AY14" s="18" t="s">
        <v>144</v>
      </c>
    </row>
    <row r="15" customFormat="false" ht="15" hidden="false" customHeight="false" outlineLevel="0" collapsed="false">
      <c r="A15" s="18" t="n">
        <v>14</v>
      </c>
      <c r="B15" s="18" t="s">
        <v>145</v>
      </c>
      <c r="C15" s="18" t="s">
        <v>146</v>
      </c>
      <c r="D15" s="18"/>
      <c r="E15" s="18" t="n">
        <v>0.4</v>
      </c>
      <c r="F15" s="18" t="n">
        <v>-1.25</v>
      </c>
      <c r="G15" s="18" t="n">
        <v>-0.93</v>
      </c>
      <c r="H15" s="18" t="n">
        <v>0</v>
      </c>
      <c r="I15" s="18" t="n">
        <v>0.5</v>
      </c>
      <c r="J15" s="18" t="n">
        <v>0.5</v>
      </c>
      <c r="K15" s="18" t="n">
        <v>3</v>
      </c>
      <c r="L15" s="18" t="n">
        <v>24</v>
      </c>
      <c r="M15" s="18" t="n">
        <v>20260905</v>
      </c>
      <c r="N15" s="18" t="n">
        <v>0</v>
      </c>
      <c r="O15" s="19" t="n">
        <v>0.899</v>
      </c>
      <c r="P15" s="18" t="s">
        <v>116</v>
      </c>
      <c r="Q15" s="19" t="n">
        <v>0.922</v>
      </c>
      <c r="R15" s="19" t="n">
        <v>0.876</v>
      </c>
      <c r="S15" s="19" t="n">
        <v>0.899</v>
      </c>
      <c r="T15" s="19" t="n">
        <v>0.994</v>
      </c>
      <c r="U15" s="18" t="n">
        <v>4.1</v>
      </c>
      <c r="V15" s="19" t="n">
        <v>0.69</v>
      </c>
      <c r="W15" s="19" t="n">
        <v>0.8</v>
      </c>
      <c r="X15" s="19" t="n">
        <v>0.745</v>
      </c>
      <c r="Y15" s="19" t="n">
        <v>0.985</v>
      </c>
      <c r="Z15" s="18" t="n">
        <v>6.7</v>
      </c>
      <c r="AA15" s="18" t="n">
        <v>48</v>
      </c>
      <c r="AB15" s="18" t="n">
        <v>1</v>
      </c>
      <c r="AC15" s="18" t="n">
        <v>3.22</v>
      </c>
      <c r="AD15" s="18" t="n">
        <v>13.3</v>
      </c>
      <c r="AE15" s="18" t="n">
        <v>7.1</v>
      </c>
      <c r="AF15" s="18" t="n">
        <v>-0.006</v>
      </c>
      <c r="AG15" s="18" t="n">
        <v>0.58</v>
      </c>
      <c r="AH15" s="18" t="n">
        <v>4.9</v>
      </c>
      <c r="AI15" s="18" t="n">
        <v>63</v>
      </c>
      <c r="AJ15" s="18" t="n">
        <v>2162</v>
      </c>
      <c r="AK15" s="18" t="n">
        <v>185</v>
      </c>
      <c r="AL15" s="18" t="n">
        <v>2</v>
      </c>
      <c r="AM15" s="18" t="n">
        <v>13</v>
      </c>
      <c r="AN15" s="20" t="n">
        <v>-0.0565</v>
      </c>
      <c r="AO15" s="20" t="n">
        <v>0.0555</v>
      </c>
      <c r="AP15" s="20" t="n">
        <v>-0.0498</v>
      </c>
      <c r="AQ15" s="20" t="n">
        <v>0.0411</v>
      </c>
      <c r="AR15" s="18" t="n">
        <v>11</v>
      </c>
      <c r="AS15" s="18" t="n">
        <v>7</v>
      </c>
      <c r="AT15" s="18" t="n">
        <v>7</v>
      </c>
      <c r="AU15" s="18" t="n">
        <v>0</v>
      </c>
      <c r="AV15" s="18" t="n">
        <v>76</v>
      </c>
      <c r="AW15" s="18" t="n">
        <v>16.5</v>
      </c>
      <c r="AX15" s="18" t="n">
        <v>94</v>
      </c>
      <c r="AY15" s="18" t="s">
        <v>147</v>
      </c>
    </row>
    <row r="16" customFormat="false" ht="15" hidden="false" customHeight="false" outlineLevel="0" collapsed="false">
      <c r="A16" s="18" t="n">
        <v>15</v>
      </c>
      <c r="B16" s="18" t="s">
        <v>148</v>
      </c>
      <c r="C16" s="18" t="s">
        <v>146</v>
      </c>
      <c r="D16" s="18"/>
      <c r="E16" s="18" t="n">
        <v>0.6</v>
      </c>
      <c r="F16" s="18" t="n">
        <v>-1.25</v>
      </c>
      <c r="G16" s="18" t="n">
        <v>-0.93</v>
      </c>
      <c r="H16" s="18" t="n">
        <v>0</v>
      </c>
      <c r="I16" s="18" t="n">
        <v>0.5</v>
      </c>
      <c r="J16" s="18" t="n">
        <v>0.5</v>
      </c>
      <c r="K16" s="18" t="n">
        <v>3</v>
      </c>
      <c r="L16" s="18" t="n">
        <v>24</v>
      </c>
      <c r="M16" s="18" t="n">
        <v>20260905</v>
      </c>
      <c r="N16" s="18" t="n">
        <v>0</v>
      </c>
      <c r="O16" s="19" t="n">
        <v>0.9509</v>
      </c>
      <c r="P16" s="18" t="s">
        <v>116</v>
      </c>
      <c r="Q16" s="19" t="n">
        <v>0.952</v>
      </c>
      <c r="R16" s="19" t="n">
        <v>0.95</v>
      </c>
      <c r="S16" s="19" t="n">
        <v>0.951</v>
      </c>
      <c r="T16" s="19" t="n">
        <v>0.989</v>
      </c>
      <c r="U16" s="18" t="n">
        <v>6.5</v>
      </c>
      <c r="V16" s="19" t="n">
        <v>0.792</v>
      </c>
      <c r="W16" s="19" t="n">
        <v>0.818</v>
      </c>
      <c r="X16" s="19" t="n">
        <v>0.805</v>
      </c>
      <c r="Y16" s="19" t="n">
        <v>0.973</v>
      </c>
      <c r="Z16" s="18" t="n">
        <v>9.5</v>
      </c>
      <c r="AA16" s="18" t="n">
        <v>38</v>
      </c>
      <c r="AB16" s="18" t="n">
        <v>0.79</v>
      </c>
      <c r="AC16" s="18" t="n">
        <v>4.96</v>
      </c>
      <c r="AD16" s="18" t="n">
        <v>32.3</v>
      </c>
      <c r="AE16" s="18" t="n">
        <v>7</v>
      </c>
      <c r="AF16" s="18" t="n">
        <v>-0.033</v>
      </c>
      <c r="AG16" s="18" t="n">
        <v>0.67</v>
      </c>
      <c r="AH16" s="18" t="n">
        <v>5.3</v>
      </c>
      <c r="AI16" s="18" t="n">
        <v>67</v>
      </c>
      <c r="AJ16" s="18" t="n">
        <v>2143</v>
      </c>
      <c r="AK16" s="18" t="n">
        <v>195</v>
      </c>
      <c r="AL16" s="18" t="n">
        <v>4</v>
      </c>
      <c r="AM16" s="18" t="n">
        <v>4</v>
      </c>
      <c r="AN16" s="20" t="n">
        <v>-0.0235</v>
      </c>
      <c r="AO16" s="20" t="n">
        <v>0.0493</v>
      </c>
      <c r="AP16" s="20" t="n">
        <v>-0.0493</v>
      </c>
      <c r="AQ16" s="20" t="n">
        <v>0.0137</v>
      </c>
      <c r="AR16" s="18" t="n">
        <v>15</v>
      </c>
      <c r="AS16" s="18" t="n">
        <v>5</v>
      </c>
      <c r="AT16" s="18" t="n">
        <v>9</v>
      </c>
      <c r="AU16" s="18" t="n">
        <v>0</v>
      </c>
      <c r="AV16" s="18" t="n">
        <v>103</v>
      </c>
      <c r="AW16" s="18" t="n">
        <v>16.1</v>
      </c>
      <c r="AX16" s="18" t="n">
        <v>181.5</v>
      </c>
      <c r="AY16" s="18" t="s">
        <v>149</v>
      </c>
    </row>
    <row r="17" customFormat="false" ht="15" hidden="false" customHeight="false" outlineLevel="0" collapsed="false">
      <c r="A17" s="18" t="n">
        <v>16</v>
      </c>
      <c r="B17" s="18" t="s">
        <v>150</v>
      </c>
      <c r="C17" s="18" t="s">
        <v>151</v>
      </c>
      <c r="D17" s="18"/>
      <c r="E17" s="18" t="n">
        <v>0.5</v>
      </c>
      <c r="F17" s="18" t="n">
        <v>-1.25</v>
      </c>
      <c r="G17" s="18" t="n">
        <v>-0.93</v>
      </c>
      <c r="H17" s="18" t="n">
        <v>0</v>
      </c>
      <c r="I17" s="18" t="n">
        <v>0.5</v>
      </c>
      <c r="J17" s="18" t="n">
        <v>0.5</v>
      </c>
      <c r="K17" s="18" t="n">
        <v>3</v>
      </c>
      <c r="L17" s="18" t="n">
        <v>24</v>
      </c>
      <c r="M17" s="18" t="n">
        <v>20260907</v>
      </c>
      <c r="N17" s="18" t="n">
        <v>1</v>
      </c>
      <c r="O17" s="19" t="n">
        <v>0.8844</v>
      </c>
      <c r="P17" s="18" t="s">
        <v>116</v>
      </c>
      <c r="Q17" s="19" t="n">
        <v>0.865</v>
      </c>
      <c r="R17" s="19" t="n">
        <v>0.903</v>
      </c>
      <c r="S17" s="19" t="n">
        <v>0.884</v>
      </c>
      <c r="T17" s="19" t="n">
        <v>0.985</v>
      </c>
      <c r="U17" s="18" t="n">
        <v>7</v>
      </c>
      <c r="V17" s="19" t="n">
        <v>0.8</v>
      </c>
      <c r="W17" s="19" t="n">
        <v>0.816</v>
      </c>
      <c r="X17" s="19" t="n">
        <v>0.808</v>
      </c>
      <c r="Y17" s="19" t="n">
        <v>0.975</v>
      </c>
      <c r="Z17" s="18" t="n">
        <v>9.1</v>
      </c>
      <c r="AA17" s="18" t="n">
        <v>48</v>
      </c>
      <c r="AB17" s="18" t="n">
        <v>1</v>
      </c>
      <c r="AC17" s="18" t="n">
        <v>3.4</v>
      </c>
      <c r="AD17" s="18" t="n">
        <v>23.9</v>
      </c>
      <c r="AE17" s="18" t="n">
        <v>7.5</v>
      </c>
      <c r="AF17" s="18" t="n">
        <v>-0.009</v>
      </c>
      <c r="AG17" s="18" t="n">
        <v>0.67</v>
      </c>
      <c r="AH17" s="18" t="n">
        <v>6.2</v>
      </c>
      <c r="AI17" s="18" t="n">
        <v>65</v>
      </c>
      <c r="AJ17" s="18" t="n">
        <v>2147</v>
      </c>
      <c r="AK17" s="18" t="n">
        <v>202</v>
      </c>
      <c r="AL17" s="18" t="n">
        <v>4</v>
      </c>
      <c r="AM17" s="18" t="n">
        <v>9</v>
      </c>
      <c r="AN17" s="20" t="n">
        <v>-0.0356</v>
      </c>
      <c r="AO17" s="20" t="n">
        <v>0.0426</v>
      </c>
      <c r="AP17" s="20" t="n">
        <v>-0.0534</v>
      </c>
      <c r="AQ17" s="20" t="n">
        <v>0.0163</v>
      </c>
      <c r="AR17" s="18" t="n">
        <v>14</v>
      </c>
      <c r="AS17" s="18" t="n">
        <v>23</v>
      </c>
      <c r="AT17" s="18" t="n">
        <v>8</v>
      </c>
      <c r="AU17" s="18" t="n">
        <v>0</v>
      </c>
      <c r="AV17" s="18" t="n">
        <v>60</v>
      </c>
      <c r="AW17" s="18" t="n">
        <v>15.9</v>
      </c>
      <c r="AX17" s="18" t="n">
        <v>77.2</v>
      </c>
      <c r="AY17" s="18" t="s">
        <v>152</v>
      </c>
    </row>
    <row r="18" customFormat="false" ht="15" hidden="false" customHeight="false" outlineLevel="0" collapsed="false">
      <c r="A18" s="18" t="n">
        <v>17</v>
      </c>
      <c r="B18" s="18" t="s">
        <v>153</v>
      </c>
      <c r="C18" s="18" t="s">
        <v>146</v>
      </c>
      <c r="D18" s="18"/>
      <c r="E18" s="18" t="n">
        <v>0.5</v>
      </c>
      <c r="F18" s="18" t="n">
        <v>-1.25</v>
      </c>
      <c r="G18" s="18" t="n">
        <v>-0.93</v>
      </c>
      <c r="H18" s="18" t="n">
        <v>0</v>
      </c>
      <c r="I18" s="18" t="n">
        <v>0.6</v>
      </c>
      <c r="J18" s="18" t="n">
        <v>0.5</v>
      </c>
      <c r="K18" s="18" t="n">
        <v>3</v>
      </c>
      <c r="L18" s="18" t="n">
        <v>24</v>
      </c>
      <c r="M18" s="18" t="n">
        <v>20260905</v>
      </c>
      <c r="N18" s="18" t="n">
        <v>0</v>
      </c>
      <c r="O18" s="19" t="n">
        <v>0.8533</v>
      </c>
      <c r="P18" s="18" t="s">
        <v>116</v>
      </c>
      <c r="Q18" s="19" t="n">
        <v>0.894</v>
      </c>
      <c r="R18" s="19" t="n">
        <v>0.813</v>
      </c>
      <c r="S18" s="19" t="n">
        <v>0.853</v>
      </c>
      <c r="T18" s="19" t="n">
        <v>0.981</v>
      </c>
      <c r="U18" s="18" t="n">
        <v>7.8</v>
      </c>
      <c r="V18" s="19" t="n">
        <v>0.807</v>
      </c>
      <c r="W18" s="19" t="n">
        <v>0.841</v>
      </c>
      <c r="X18" s="19" t="n">
        <v>0.824</v>
      </c>
      <c r="Y18" s="19" t="n">
        <v>0.977</v>
      </c>
      <c r="Z18" s="18" t="n">
        <v>8.7</v>
      </c>
      <c r="AA18" s="18" t="n">
        <v>48</v>
      </c>
      <c r="AB18" s="18" t="n">
        <v>1</v>
      </c>
      <c r="AC18" s="18" t="n">
        <v>2.85</v>
      </c>
      <c r="AD18" s="18" t="n">
        <v>22.3</v>
      </c>
      <c r="AE18" s="18" t="n">
        <v>5.9</v>
      </c>
      <c r="AF18" s="18" t="n">
        <v>0.007</v>
      </c>
      <c r="AG18" s="18" t="n">
        <v>0.5</v>
      </c>
      <c r="AH18" s="18" t="n">
        <v>5.7</v>
      </c>
      <c r="AI18" s="18" t="n">
        <v>90</v>
      </c>
      <c r="AJ18" s="18" t="n">
        <v>2125</v>
      </c>
      <c r="AK18" s="18" t="n">
        <v>201</v>
      </c>
      <c r="AL18" s="18" t="n">
        <v>6</v>
      </c>
      <c r="AM18" s="18" t="n">
        <v>6</v>
      </c>
      <c r="AN18" s="20" t="n">
        <v>-0.0465</v>
      </c>
      <c r="AO18" s="20" t="n">
        <v>0.0318</v>
      </c>
      <c r="AP18" s="20" t="n">
        <v>-0.0365</v>
      </c>
      <c r="AQ18" s="20" t="n">
        <v>0.0231</v>
      </c>
      <c r="AR18" s="18" t="n">
        <v>14</v>
      </c>
      <c r="AS18" s="18" t="n">
        <v>7</v>
      </c>
      <c r="AT18" s="18" t="n">
        <v>8</v>
      </c>
      <c r="AU18" s="18" t="n">
        <v>0</v>
      </c>
      <c r="AV18" s="18" t="n">
        <v>110</v>
      </c>
      <c r="AW18" s="18" t="n">
        <v>16.5</v>
      </c>
      <c r="AX18" s="18" t="n">
        <v>188.5</v>
      </c>
      <c r="AY18" s="18" t="s">
        <v>154</v>
      </c>
    </row>
    <row r="19" customFormat="false" ht="15" hidden="false" customHeight="false" outlineLevel="0" collapsed="false">
      <c r="A19" s="18" t="n">
        <v>18</v>
      </c>
      <c r="B19" s="18" t="s">
        <v>155</v>
      </c>
      <c r="C19" s="18" t="s">
        <v>146</v>
      </c>
      <c r="D19" s="18"/>
      <c r="E19" s="18" t="n">
        <v>0.5</v>
      </c>
      <c r="F19" s="18" t="n">
        <v>-1.25</v>
      </c>
      <c r="G19" s="18" t="n">
        <v>-1.03</v>
      </c>
      <c r="H19" s="18" t="n">
        <v>-0.1</v>
      </c>
      <c r="I19" s="18" t="n">
        <v>0.5</v>
      </c>
      <c r="J19" s="18" t="n">
        <v>0.5</v>
      </c>
      <c r="K19" s="18" t="n">
        <v>3</v>
      </c>
      <c r="L19" s="18" t="n">
        <v>24</v>
      </c>
      <c r="M19" s="18" t="n">
        <v>20260905</v>
      </c>
      <c r="N19" s="18" t="n">
        <v>0</v>
      </c>
      <c r="O19" s="19" t="n">
        <v>0.8339</v>
      </c>
      <c r="P19" s="18" t="s">
        <v>116</v>
      </c>
      <c r="Q19" s="19" t="n">
        <v>0.797</v>
      </c>
      <c r="R19" s="19" t="n">
        <v>0.87</v>
      </c>
      <c r="S19" s="19" t="n">
        <v>0.834</v>
      </c>
      <c r="T19" s="19" t="n">
        <v>0.978</v>
      </c>
      <c r="U19" s="18" t="n">
        <v>8.6</v>
      </c>
      <c r="V19" s="19" t="n">
        <v>0.612</v>
      </c>
      <c r="W19" s="19" t="n">
        <v>0.647</v>
      </c>
      <c r="X19" s="19" t="n">
        <v>0.629</v>
      </c>
      <c r="Y19" s="19" t="n">
        <v>0.95</v>
      </c>
      <c r="Z19" s="18" t="n">
        <v>12.9</v>
      </c>
      <c r="AA19" s="18" t="n">
        <v>48</v>
      </c>
      <c r="AB19" s="18" t="n">
        <v>1</v>
      </c>
      <c r="AC19" s="18" t="n">
        <v>2.31</v>
      </c>
      <c r="AD19" s="18" t="n">
        <v>19.9</v>
      </c>
      <c r="AE19" s="18" t="n">
        <v>8.5</v>
      </c>
      <c r="AF19" s="18" t="n">
        <v>0.022</v>
      </c>
      <c r="AG19" s="18" t="n">
        <v>0.71</v>
      </c>
      <c r="AH19" s="18" t="n">
        <v>5.1</v>
      </c>
      <c r="AI19" s="18" t="n">
        <v>58</v>
      </c>
      <c r="AJ19" s="18" t="n">
        <v>2252</v>
      </c>
      <c r="AK19" s="18" t="n">
        <v>173</v>
      </c>
      <c r="AL19" s="18" t="n">
        <v>7</v>
      </c>
      <c r="AM19" s="18" t="n">
        <v>9</v>
      </c>
      <c r="AN19" s="20" t="n">
        <v>-0.0486</v>
      </c>
      <c r="AO19" s="20" t="n">
        <v>0.0672</v>
      </c>
      <c r="AP19" s="20" t="n">
        <v>-0.0457</v>
      </c>
      <c r="AQ19" s="20" t="n">
        <v>0.0182</v>
      </c>
      <c r="AR19" s="18" t="n">
        <v>17</v>
      </c>
      <c r="AS19" s="18" t="n">
        <v>20</v>
      </c>
      <c r="AT19" s="18" t="n">
        <v>27</v>
      </c>
      <c r="AU19" s="18" t="n">
        <v>0</v>
      </c>
      <c r="AV19" s="18" t="n">
        <v>88</v>
      </c>
      <c r="AW19" s="18" t="n">
        <v>15.3</v>
      </c>
      <c r="AX19" s="18" t="n">
        <v>165.3</v>
      </c>
      <c r="AY19" s="18" t="s">
        <v>156</v>
      </c>
    </row>
    <row r="20" customFormat="false" ht="15" hidden="false" customHeight="false" outlineLevel="0" collapsed="false">
      <c r="A20" s="18" t="n">
        <v>19</v>
      </c>
      <c r="B20" s="18" t="s">
        <v>157</v>
      </c>
      <c r="C20" s="18" t="s">
        <v>146</v>
      </c>
      <c r="D20" s="18"/>
      <c r="E20" s="18" t="n">
        <v>0.5</v>
      </c>
      <c r="F20" s="18" t="n">
        <v>-1.25</v>
      </c>
      <c r="G20" s="18" t="n">
        <v>-0.93</v>
      </c>
      <c r="H20" s="18" t="n">
        <v>0</v>
      </c>
      <c r="I20" s="18" t="n">
        <v>0.6</v>
      </c>
      <c r="J20" s="18" t="n">
        <v>0.5</v>
      </c>
      <c r="K20" s="18" t="n">
        <v>3</v>
      </c>
      <c r="L20" s="18" t="n">
        <v>24</v>
      </c>
      <c r="M20" s="18" t="n">
        <v>20260906</v>
      </c>
      <c r="N20" s="18" t="n">
        <v>0</v>
      </c>
      <c r="O20" s="19" t="n">
        <v>0.9195</v>
      </c>
      <c r="P20" s="18" t="s">
        <v>116</v>
      </c>
      <c r="Q20" s="19" t="n">
        <v>0.92</v>
      </c>
      <c r="R20" s="19" t="n">
        <v>0.919</v>
      </c>
      <c r="S20" s="19" t="n">
        <v>0.92</v>
      </c>
      <c r="T20" s="19" t="n">
        <v>0.991</v>
      </c>
      <c r="U20" s="18" t="n">
        <v>5.2</v>
      </c>
      <c r="V20" s="19" t="n">
        <v>0.795</v>
      </c>
      <c r="W20" s="19" t="n">
        <v>0.621</v>
      </c>
      <c r="X20" s="19" t="n">
        <v>0.708</v>
      </c>
      <c r="Y20" s="19" t="n">
        <v>0.968</v>
      </c>
      <c r="Z20" s="18" t="n">
        <v>9.9</v>
      </c>
      <c r="AA20" s="18" t="n">
        <v>48</v>
      </c>
      <c r="AB20" s="18" t="n">
        <v>1</v>
      </c>
      <c r="AC20" s="18" t="n">
        <v>3.64</v>
      </c>
      <c r="AD20" s="18" t="n">
        <v>18.8</v>
      </c>
      <c r="AE20" s="18" t="n">
        <v>8</v>
      </c>
      <c r="AF20" s="18" t="n">
        <v>-0.03</v>
      </c>
      <c r="AG20" s="18" t="n">
        <v>0.58</v>
      </c>
      <c r="AH20" s="18" t="n">
        <v>5</v>
      </c>
      <c r="AI20" s="18" t="n">
        <v>77</v>
      </c>
      <c r="AJ20" s="18" t="n">
        <v>2119</v>
      </c>
      <c r="AK20" s="18" t="n">
        <v>194</v>
      </c>
      <c r="AL20" s="18" t="n">
        <v>5</v>
      </c>
      <c r="AM20" s="18" t="n">
        <v>12</v>
      </c>
      <c r="AN20" s="20" t="n">
        <v>-0.0496</v>
      </c>
      <c r="AO20" s="20" t="n">
        <v>0.028</v>
      </c>
      <c r="AP20" s="20" t="n">
        <v>-0.0695</v>
      </c>
      <c r="AQ20" s="20" t="n">
        <v>0.0395</v>
      </c>
      <c r="AR20" s="18" t="n">
        <v>15</v>
      </c>
      <c r="AS20" s="18" t="n">
        <v>8</v>
      </c>
      <c r="AT20" s="18" t="n">
        <v>8</v>
      </c>
      <c r="AU20" s="18" t="n">
        <v>0</v>
      </c>
      <c r="AV20" s="18" t="n">
        <v>121</v>
      </c>
      <c r="AW20" s="18" t="n">
        <v>17.1</v>
      </c>
      <c r="AX20" s="18" t="n">
        <v>138.9</v>
      </c>
      <c r="AY20" s="18" t="s">
        <v>158</v>
      </c>
    </row>
    <row r="21" customFormat="false" ht="15" hidden="false" customHeight="false" outlineLevel="0" collapsed="false">
      <c r="A21" s="18" t="n">
        <v>20</v>
      </c>
      <c r="B21" s="18" t="s">
        <v>159</v>
      </c>
      <c r="C21" s="18" t="s">
        <v>151</v>
      </c>
      <c r="D21" s="18"/>
      <c r="E21" s="18" t="n">
        <v>0.5</v>
      </c>
      <c r="F21" s="18" t="n">
        <v>-1.25</v>
      </c>
      <c r="G21" s="18" t="n">
        <v>-0.93</v>
      </c>
      <c r="H21" s="18" t="n">
        <v>0</v>
      </c>
      <c r="I21" s="18" t="n">
        <v>0.5</v>
      </c>
      <c r="J21" s="18" t="n">
        <v>0.5</v>
      </c>
      <c r="K21" s="18" t="n">
        <v>3</v>
      </c>
      <c r="L21" s="18" t="n">
        <v>24</v>
      </c>
      <c r="M21" s="18" t="n">
        <v>20260908</v>
      </c>
      <c r="N21" s="18" t="n">
        <v>1</v>
      </c>
      <c r="O21" s="19" t="n">
        <v>0.8401</v>
      </c>
      <c r="P21" s="18" t="s">
        <v>116</v>
      </c>
      <c r="Q21" s="19" t="n">
        <v>0.845</v>
      </c>
      <c r="R21" s="19" t="n">
        <v>0.836</v>
      </c>
      <c r="S21" s="19" t="n">
        <v>0.84</v>
      </c>
      <c r="T21" s="19" t="n">
        <v>0.986</v>
      </c>
      <c r="U21" s="18" t="n">
        <v>6.7</v>
      </c>
      <c r="V21" s="19" t="n">
        <v>0.569</v>
      </c>
      <c r="W21" s="19" t="n">
        <v>-0.232</v>
      </c>
      <c r="X21" s="19" t="n">
        <v>0.168</v>
      </c>
      <c r="Y21" s="19" t="n">
        <v>0.924</v>
      </c>
      <c r="Z21" s="18" t="n">
        <v>15.4</v>
      </c>
      <c r="AA21" s="18" t="n">
        <v>48</v>
      </c>
      <c r="AB21" s="18" t="n">
        <v>1</v>
      </c>
      <c r="AC21" s="18" t="n">
        <v>2.22</v>
      </c>
      <c r="AD21" s="18" t="n">
        <v>14.9</v>
      </c>
      <c r="AE21" s="18" t="n">
        <v>7.5</v>
      </c>
      <c r="AF21" s="18" t="n">
        <v>-0.005</v>
      </c>
      <c r="AG21" s="18" t="n">
        <v>0.67</v>
      </c>
      <c r="AH21" s="18" t="n">
        <v>4.6</v>
      </c>
      <c r="AI21" s="18" t="n">
        <v>63</v>
      </c>
      <c r="AJ21" s="18" t="n">
        <v>2168</v>
      </c>
      <c r="AK21" s="18" t="n">
        <v>179</v>
      </c>
      <c r="AL21" s="18" t="n">
        <v>10</v>
      </c>
      <c r="AM21" s="18" t="n">
        <v>16</v>
      </c>
      <c r="AN21" s="20" t="n">
        <v>-0.0559</v>
      </c>
      <c r="AO21" s="20" t="n">
        <v>0.0588</v>
      </c>
      <c r="AP21" s="20" t="n">
        <v>-0.0497</v>
      </c>
      <c r="AQ21" s="20" t="n">
        <v>0.0486</v>
      </c>
      <c r="AR21" s="18" t="n">
        <v>14</v>
      </c>
      <c r="AS21" s="18" t="n">
        <v>14</v>
      </c>
      <c r="AT21" s="18" t="n">
        <v>15</v>
      </c>
      <c r="AU21" s="18" t="n">
        <v>0</v>
      </c>
      <c r="AV21" s="18" t="n">
        <v>76</v>
      </c>
      <c r="AW21" s="18" t="n">
        <v>15.8</v>
      </c>
      <c r="AX21" s="18" t="n">
        <v>92.7</v>
      </c>
      <c r="AY21" s="18" t="s">
        <v>160</v>
      </c>
    </row>
    <row r="22" customFormat="false" ht="15" hidden="false" customHeight="false" outlineLevel="0" collapsed="false">
      <c r="A22" s="18" t="n">
        <v>21</v>
      </c>
      <c r="B22" s="18" t="s">
        <v>161</v>
      </c>
      <c r="C22" s="18" t="s">
        <v>146</v>
      </c>
      <c r="D22" s="18"/>
      <c r="E22" s="18" t="n">
        <v>0.5</v>
      </c>
      <c r="F22" s="18" t="n">
        <v>-1.25</v>
      </c>
      <c r="G22" s="18" t="n">
        <v>-0.93</v>
      </c>
      <c r="H22" s="18" t="n">
        <v>0</v>
      </c>
      <c r="I22" s="18" t="n">
        <v>0.7</v>
      </c>
      <c r="J22" s="18" t="n">
        <v>0.5</v>
      </c>
      <c r="K22" s="18" t="n">
        <v>3</v>
      </c>
      <c r="L22" s="18" t="n">
        <v>24</v>
      </c>
      <c r="M22" s="18" t="n">
        <v>20260905</v>
      </c>
      <c r="N22" s="18" t="n">
        <v>0</v>
      </c>
      <c r="O22" s="19" t="n">
        <v>0.8069</v>
      </c>
      <c r="P22" s="18" t="s">
        <v>116</v>
      </c>
      <c r="Q22" s="19" t="n">
        <v>0.746</v>
      </c>
      <c r="R22" s="19" t="n">
        <v>0.868</v>
      </c>
      <c r="S22" s="19" t="n">
        <v>0.807</v>
      </c>
      <c r="T22" s="19" t="n">
        <v>0.973</v>
      </c>
      <c r="U22" s="18" t="n">
        <v>9.6</v>
      </c>
      <c r="V22" s="19" t="n">
        <v>0.715</v>
      </c>
      <c r="W22" s="19" t="n">
        <v>0.838</v>
      </c>
      <c r="X22" s="19" t="n">
        <v>0.777</v>
      </c>
      <c r="Y22" s="19" t="n">
        <v>0.968</v>
      </c>
      <c r="Z22" s="18" t="n">
        <v>10.3</v>
      </c>
      <c r="AA22" s="18" t="n">
        <v>48</v>
      </c>
      <c r="AB22" s="18" t="n">
        <v>1</v>
      </c>
      <c r="AC22" s="18" t="n">
        <v>2.26</v>
      </c>
      <c r="AD22" s="18" t="n">
        <v>21.7</v>
      </c>
      <c r="AE22" s="18" t="n">
        <v>9.7</v>
      </c>
      <c r="AF22" s="18" t="n">
        <v>0.042</v>
      </c>
      <c r="AG22" s="18" t="n">
        <v>0.42</v>
      </c>
      <c r="AH22" s="18" t="n">
        <v>7.9</v>
      </c>
      <c r="AI22" s="18" t="n">
        <v>101</v>
      </c>
      <c r="AJ22" s="18" t="n">
        <v>2094</v>
      </c>
      <c r="AK22" s="18" t="n">
        <v>196</v>
      </c>
      <c r="AL22" s="18" t="n">
        <v>8</v>
      </c>
      <c r="AM22" s="18" t="n">
        <v>3</v>
      </c>
      <c r="AN22" s="20" t="n">
        <v>-0.0488</v>
      </c>
      <c r="AO22" s="20" t="n">
        <v>0.0632</v>
      </c>
      <c r="AP22" s="20" t="n">
        <v>-0.0498</v>
      </c>
      <c r="AQ22" s="20" t="n">
        <v>0.0486</v>
      </c>
      <c r="AR22" s="18" t="n">
        <v>19</v>
      </c>
      <c r="AS22" s="18" t="n">
        <v>6</v>
      </c>
      <c r="AT22" s="18" t="n">
        <v>18</v>
      </c>
      <c r="AU22" s="18" t="n">
        <v>0</v>
      </c>
      <c r="AV22" s="18" t="n">
        <v>134</v>
      </c>
      <c r="AW22" s="18" t="n">
        <v>15.8</v>
      </c>
      <c r="AX22" s="18" t="n">
        <v>211.7</v>
      </c>
      <c r="AY22" s="18" t="s">
        <v>162</v>
      </c>
    </row>
    <row r="23" customFormat="false" ht="15" hidden="false" customHeight="false" outlineLevel="0" collapsed="false">
      <c r="A23" s="18" t="n">
        <v>22</v>
      </c>
      <c r="B23" s="18" t="s">
        <v>163</v>
      </c>
      <c r="C23" s="18" t="s">
        <v>146</v>
      </c>
      <c r="D23" s="18"/>
      <c r="E23" s="18" t="n">
        <v>0.4</v>
      </c>
      <c r="F23" s="18" t="n">
        <v>-1.25</v>
      </c>
      <c r="G23" s="18" t="n">
        <v>-0.93</v>
      </c>
      <c r="H23" s="18" t="n">
        <v>0</v>
      </c>
      <c r="I23" s="18" t="n">
        <v>0.6</v>
      </c>
      <c r="J23" s="18" t="n">
        <v>0.5</v>
      </c>
      <c r="K23" s="18" t="n">
        <v>3</v>
      </c>
      <c r="L23" s="18" t="n">
        <v>24</v>
      </c>
      <c r="M23" s="18" t="n">
        <v>20260905</v>
      </c>
      <c r="N23" s="18" t="n">
        <v>0</v>
      </c>
      <c r="O23" s="19" t="n">
        <v>0.7791</v>
      </c>
      <c r="P23" s="18" t="s">
        <v>116</v>
      </c>
      <c r="Q23" s="19" t="n">
        <v>0.662</v>
      </c>
      <c r="R23" s="19" t="n">
        <v>0.897</v>
      </c>
      <c r="S23" s="19" t="n">
        <v>0.779</v>
      </c>
      <c r="T23" s="19" t="n">
        <v>0.987</v>
      </c>
      <c r="U23" s="18" t="n">
        <v>6</v>
      </c>
      <c r="V23" s="19" t="n">
        <v>0.55</v>
      </c>
      <c r="W23" s="19" t="n">
        <v>0.774</v>
      </c>
      <c r="X23" s="19" t="n">
        <v>0.662</v>
      </c>
      <c r="Y23" s="19" t="n">
        <v>0.98</v>
      </c>
      <c r="Z23" s="18" t="n">
        <v>7.5</v>
      </c>
      <c r="AA23" s="18" t="n">
        <v>48</v>
      </c>
      <c r="AB23" s="18" t="n">
        <v>1</v>
      </c>
      <c r="AC23" s="18" t="n">
        <v>2.28</v>
      </c>
      <c r="AD23" s="18" t="n">
        <v>13.8</v>
      </c>
      <c r="AE23" s="18" t="n">
        <v>7.7</v>
      </c>
      <c r="AF23" s="18" t="n">
        <v>-0.017</v>
      </c>
      <c r="AG23" s="18" t="n">
        <v>0.58</v>
      </c>
      <c r="AH23" s="18" t="n">
        <v>4.9</v>
      </c>
      <c r="AI23" s="18" t="n">
        <v>86</v>
      </c>
      <c r="AJ23" s="18" t="n">
        <v>2139</v>
      </c>
      <c r="AK23" s="18" t="n">
        <v>189</v>
      </c>
      <c r="AL23" s="18" t="n">
        <v>2</v>
      </c>
      <c r="AM23" s="18" t="n">
        <v>5</v>
      </c>
      <c r="AN23" s="20" t="n">
        <v>-0.0321</v>
      </c>
      <c r="AO23" s="20" t="n">
        <v>0.0228</v>
      </c>
      <c r="AP23" s="20" t="n">
        <v>-0.058</v>
      </c>
      <c r="AQ23" s="20" t="n">
        <v>0.0288</v>
      </c>
      <c r="AR23" s="18" t="n">
        <v>11</v>
      </c>
      <c r="AS23" s="18" t="n">
        <v>8</v>
      </c>
      <c r="AT23" s="18" t="n">
        <v>7</v>
      </c>
      <c r="AU23" s="18" t="n">
        <v>0</v>
      </c>
      <c r="AV23" s="18" t="n">
        <v>88</v>
      </c>
      <c r="AW23" s="18" t="n">
        <v>16.1</v>
      </c>
      <c r="AX23" s="18" t="n">
        <v>166.6</v>
      </c>
      <c r="AY23" s="18" t="s">
        <v>164</v>
      </c>
    </row>
    <row r="24" customFormat="false" ht="15" hidden="false" customHeight="false" outlineLevel="0" collapsed="false">
      <c r="A24" s="18" t="n">
        <v>23</v>
      </c>
      <c r="B24" s="18" t="s">
        <v>165</v>
      </c>
      <c r="C24" s="18" t="s">
        <v>146</v>
      </c>
      <c r="D24" s="18"/>
      <c r="E24" s="18" t="n">
        <v>0.5</v>
      </c>
      <c r="F24" s="18" t="n">
        <v>-1</v>
      </c>
      <c r="G24" s="18" t="n">
        <v>-0.93</v>
      </c>
      <c r="H24" s="18" t="n">
        <v>0</v>
      </c>
      <c r="I24" s="18" t="n">
        <v>0.6</v>
      </c>
      <c r="J24" s="18" t="n">
        <v>0.5</v>
      </c>
      <c r="K24" s="18" t="n">
        <v>3</v>
      </c>
      <c r="L24" s="18" t="n">
        <v>24</v>
      </c>
      <c r="M24" s="18" t="n">
        <v>20260905</v>
      </c>
      <c r="N24" s="18" t="n">
        <v>0</v>
      </c>
      <c r="O24" s="19" t="n">
        <v>0.8317</v>
      </c>
      <c r="P24" s="18" t="s">
        <v>116</v>
      </c>
      <c r="Q24" s="19" t="n">
        <v>0.804</v>
      </c>
      <c r="R24" s="19" t="n">
        <v>0.859</v>
      </c>
      <c r="S24" s="19" t="n">
        <v>0.832</v>
      </c>
      <c r="T24" s="19" t="n">
        <v>0.978</v>
      </c>
      <c r="U24" s="18" t="n">
        <v>7.9</v>
      </c>
      <c r="V24" s="19" t="n">
        <v>0.69</v>
      </c>
      <c r="W24" s="19" t="n">
        <v>0.434</v>
      </c>
      <c r="X24" s="19" t="n">
        <v>0.562</v>
      </c>
      <c r="Y24" s="19" t="n">
        <v>0.947</v>
      </c>
      <c r="Z24" s="18" t="n">
        <v>12.3</v>
      </c>
      <c r="AA24" s="18" t="n">
        <v>48</v>
      </c>
      <c r="AB24" s="18" t="n">
        <v>1</v>
      </c>
      <c r="AC24" s="18" t="n">
        <v>1.98</v>
      </c>
      <c r="AD24" s="18" t="n">
        <v>15.5</v>
      </c>
      <c r="AE24" s="18" t="n">
        <v>8.3</v>
      </c>
      <c r="AF24" s="18" t="n">
        <v>-0.005</v>
      </c>
      <c r="AG24" s="18" t="n">
        <v>0.42</v>
      </c>
      <c r="AH24" s="18" t="n">
        <v>7.6</v>
      </c>
      <c r="AI24" s="18" t="n">
        <v>79</v>
      </c>
      <c r="AJ24" s="18" t="n">
        <v>2402</v>
      </c>
      <c r="AK24" s="18" t="n">
        <v>139</v>
      </c>
      <c r="AL24" s="18" t="n">
        <v>9</v>
      </c>
      <c r="AM24" s="18" t="n">
        <v>7</v>
      </c>
      <c r="AN24" s="20" t="n">
        <v>-0.018</v>
      </c>
      <c r="AO24" s="20" t="n">
        <v>-0.0004</v>
      </c>
      <c r="AP24" s="20" t="n">
        <v>-0.031</v>
      </c>
      <c r="AQ24" s="20" t="n">
        <v>-0.0053</v>
      </c>
      <c r="AR24" s="18" t="n">
        <v>20</v>
      </c>
      <c r="AS24" s="18" t="n">
        <v>5</v>
      </c>
      <c r="AT24" s="18" t="n">
        <v>10</v>
      </c>
      <c r="AU24" s="18" t="n">
        <v>0</v>
      </c>
      <c r="AV24" s="18" t="n">
        <v>127</v>
      </c>
      <c r="AW24" s="18" t="n">
        <v>15.7</v>
      </c>
      <c r="AX24" s="18" t="n">
        <v>143.5</v>
      </c>
      <c r="AY24" s="18" t="s">
        <v>166</v>
      </c>
    </row>
    <row r="25" customFormat="false" ht="15" hidden="false" customHeight="false" outlineLevel="0" collapsed="false">
      <c r="A25" s="18" t="n">
        <v>24</v>
      </c>
      <c r="B25" s="18" t="s">
        <v>167</v>
      </c>
      <c r="C25" s="18" t="s">
        <v>151</v>
      </c>
      <c r="D25" s="18"/>
      <c r="E25" s="18" t="n">
        <v>0.5</v>
      </c>
      <c r="F25" s="18" t="n">
        <v>-1.25</v>
      </c>
      <c r="G25" s="18" t="n">
        <v>-0.93</v>
      </c>
      <c r="H25" s="18" t="n">
        <v>0</v>
      </c>
      <c r="I25" s="18" t="n">
        <v>0.6</v>
      </c>
      <c r="J25" s="18" t="n">
        <v>0.5</v>
      </c>
      <c r="K25" s="18" t="n">
        <v>3</v>
      </c>
      <c r="L25" s="18" t="n">
        <v>24</v>
      </c>
      <c r="M25" s="18" t="n">
        <v>20260907</v>
      </c>
      <c r="N25" s="18" t="n">
        <v>1</v>
      </c>
      <c r="O25" s="19" t="n">
        <v>0.944</v>
      </c>
      <c r="P25" s="18" t="s">
        <v>116</v>
      </c>
      <c r="Q25" s="19" t="n">
        <v>0.947</v>
      </c>
      <c r="R25" s="19" t="n">
        <v>0.941</v>
      </c>
      <c r="S25" s="19" t="n">
        <v>0.944</v>
      </c>
      <c r="T25" s="19" t="n">
        <v>0.992</v>
      </c>
      <c r="U25" s="18" t="n">
        <v>5.2</v>
      </c>
      <c r="V25" s="19" t="n">
        <v>0.776</v>
      </c>
      <c r="W25" s="19" t="n">
        <v>0.681</v>
      </c>
      <c r="X25" s="19" t="n">
        <v>0.729</v>
      </c>
      <c r="Y25" s="19" t="n">
        <v>0.961</v>
      </c>
      <c r="Z25" s="18" t="n">
        <v>11.4</v>
      </c>
      <c r="AA25" s="18" t="n">
        <v>48</v>
      </c>
      <c r="AB25" s="18" t="n">
        <v>1</v>
      </c>
      <c r="AC25" s="18" t="n">
        <v>4.19</v>
      </c>
      <c r="AD25" s="18" t="n">
        <v>21.8</v>
      </c>
      <c r="AE25" s="18" t="n">
        <v>6.8</v>
      </c>
      <c r="AF25" s="18" t="n">
        <v>0.036</v>
      </c>
      <c r="AG25" s="18" t="n">
        <v>0.71</v>
      </c>
      <c r="AH25" s="18" t="n">
        <v>4.9</v>
      </c>
      <c r="AI25" s="18" t="n">
        <v>87</v>
      </c>
      <c r="AJ25" s="18" t="n">
        <v>2147</v>
      </c>
      <c r="AK25" s="18" t="n">
        <v>192</v>
      </c>
      <c r="AL25" s="18" t="n">
        <v>3</v>
      </c>
      <c r="AM25" s="18" t="n">
        <v>12</v>
      </c>
      <c r="AN25" s="20" t="n">
        <v>-0.0518</v>
      </c>
      <c r="AO25" s="20" t="n">
        <v>0.0234</v>
      </c>
      <c r="AP25" s="20" t="n">
        <v>-0.0536</v>
      </c>
      <c r="AQ25" s="20" t="n">
        <v>0.0273</v>
      </c>
      <c r="AR25" s="18" t="n">
        <v>16</v>
      </c>
      <c r="AS25" s="18" t="n">
        <v>15</v>
      </c>
      <c r="AT25" s="18" t="n">
        <v>15</v>
      </c>
      <c r="AU25" s="18" t="n">
        <v>0</v>
      </c>
      <c r="AV25" s="18" t="n">
        <v>70</v>
      </c>
      <c r="AW25" s="18" t="n">
        <v>15.6</v>
      </c>
      <c r="AX25" s="18" t="n">
        <v>86.7</v>
      </c>
      <c r="AY25" s="18" t="s">
        <v>168</v>
      </c>
    </row>
    <row r="26" customFormat="false" ht="15" hidden="false" customHeight="false" outlineLevel="0" collapsed="false">
      <c r="A26" s="18" t="n">
        <v>25</v>
      </c>
      <c r="B26" s="18" t="s">
        <v>169</v>
      </c>
      <c r="C26" s="18" t="s">
        <v>146</v>
      </c>
      <c r="D26" s="18"/>
      <c r="E26" s="18" t="n">
        <v>0.5</v>
      </c>
      <c r="F26" s="18" t="n">
        <v>-1.25</v>
      </c>
      <c r="G26" s="18" t="n">
        <v>-0.83</v>
      </c>
      <c r="H26" s="18" t="n">
        <v>0.1</v>
      </c>
      <c r="I26" s="18" t="n">
        <v>0.6</v>
      </c>
      <c r="J26" s="18" t="n">
        <v>0.5</v>
      </c>
      <c r="K26" s="18" t="n">
        <v>3</v>
      </c>
      <c r="L26" s="18" t="n">
        <v>24</v>
      </c>
      <c r="M26" s="18" t="n">
        <v>20260905</v>
      </c>
      <c r="N26" s="18" t="n">
        <v>0</v>
      </c>
      <c r="O26" s="19" t="n">
        <v>0.9423</v>
      </c>
      <c r="P26" s="18" t="s">
        <v>116</v>
      </c>
      <c r="Q26" s="19" t="n">
        <v>0.952</v>
      </c>
      <c r="R26" s="19" t="n">
        <v>0.933</v>
      </c>
      <c r="S26" s="19" t="n">
        <v>0.942</v>
      </c>
      <c r="T26" s="19" t="n">
        <v>0.992</v>
      </c>
      <c r="U26" s="18" t="n">
        <v>5.2</v>
      </c>
      <c r="V26" s="19" t="n">
        <v>0.899</v>
      </c>
      <c r="W26" s="19" t="n">
        <v>0.823</v>
      </c>
      <c r="X26" s="19" t="n">
        <v>0.861</v>
      </c>
      <c r="Y26" s="19" t="n">
        <v>0.981</v>
      </c>
      <c r="Z26" s="18" t="n">
        <v>8.1</v>
      </c>
      <c r="AA26" s="18" t="n">
        <v>48</v>
      </c>
      <c r="AB26" s="18" t="n">
        <v>1</v>
      </c>
      <c r="AC26" s="18" t="n">
        <v>4.12</v>
      </c>
      <c r="AD26" s="18" t="n">
        <v>21.5</v>
      </c>
      <c r="AE26" s="18" t="n">
        <v>9</v>
      </c>
      <c r="AF26" s="18" t="n">
        <v>0.033</v>
      </c>
      <c r="AG26" s="18" t="n">
        <v>0.54</v>
      </c>
      <c r="AH26" s="18" t="n">
        <v>5.5</v>
      </c>
      <c r="AI26" s="18" t="n">
        <v>84</v>
      </c>
      <c r="AJ26" s="18" t="n">
        <v>2047</v>
      </c>
      <c r="AK26" s="18" t="n">
        <v>191</v>
      </c>
      <c r="AL26" s="18" t="n">
        <v>6</v>
      </c>
      <c r="AM26" s="18" t="n">
        <v>10</v>
      </c>
      <c r="AN26" s="20" t="n">
        <v>-0.052</v>
      </c>
      <c r="AO26" s="20" t="n">
        <v>0.0706</v>
      </c>
      <c r="AP26" s="20" t="n">
        <v>-0.0597</v>
      </c>
      <c r="AQ26" s="20" t="n">
        <v>0.0493</v>
      </c>
      <c r="AR26" s="18" t="n">
        <v>11</v>
      </c>
      <c r="AS26" s="18" t="n">
        <v>11</v>
      </c>
      <c r="AT26" s="18" t="n">
        <v>7</v>
      </c>
      <c r="AU26" s="18" t="n">
        <v>0</v>
      </c>
      <c r="AV26" s="18" t="n">
        <v>99</v>
      </c>
      <c r="AW26" s="18" t="n">
        <v>16.2</v>
      </c>
      <c r="AX26" s="18" t="n">
        <v>177.7</v>
      </c>
      <c r="AY26" s="18" t="s">
        <v>170</v>
      </c>
    </row>
    <row r="27" customFormat="false" ht="15" hidden="false" customHeight="false" outlineLevel="0" collapsed="false">
      <c r="A27" s="18" t="n">
        <v>26</v>
      </c>
      <c r="B27" s="18" t="s">
        <v>171</v>
      </c>
      <c r="C27" s="18" t="s">
        <v>146</v>
      </c>
      <c r="D27" s="18"/>
      <c r="E27" s="18" t="n">
        <v>0.6</v>
      </c>
      <c r="F27" s="18" t="n">
        <v>-1.25</v>
      </c>
      <c r="G27" s="18" t="n">
        <v>-0.93</v>
      </c>
      <c r="H27" s="18" t="n">
        <v>0</v>
      </c>
      <c r="I27" s="18" t="n">
        <v>0.6</v>
      </c>
      <c r="J27" s="18" t="n">
        <v>0.5</v>
      </c>
      <c r="K27" s="18" t="n">
        <v>3</v>
      </c>
      <c r="L27" s="18" t="n">
        <v>24</v>
      </c>
      <c r="M27" s="18" t="n">
        <v>20260905</v>
      </c>
      <c r="N27" s="18" t="n">
        <v>0</v>
      </c>
      <c r="O27" s="19" t="n">
        <v>0.9632</v>
      </c>
      <c r="P27" s="18" t="s">
        <v>116</v>
      </c>
      <c r="Q27" s="19" t="n">
        <v>0.966</v>
      </c>
      <c r="R27" s="19" t="n">
        <v>0.961</v>
      </c>
      <c r="S27" s="19" t="n">
        <v>0.963</v>
      </c>
      <c r="T27" s="19" t="n">
        <v>0.991</v>
      </c>
      <c r="U27" s="18" t="n">
        <v>5.8</v>
      </c>
      <c r="V27" s="19" t="n">
        <v>0.907</v>
      </c>
      <c r="W27" s="19" t="n">
        <v>0.906</v>
      </c>
      <c r="X27" s="19" t="n">
        <v>0.906</v>
      </c>
      <c r="Y27" s="19" t="n">
        <v>0.982</v>
      </c>
      <c r="Z27" s="18" t="n">
        <v>7.9</v>
      </c>
      <c r="AA27" s="18" t="n">
        <v>44</v>
      </c>
      <c r="AB27" s="18" t="n">
        <v>0.92</v>
      </c>
      <c r="AC27" s="18" t="n">
        <v>5.48</v>
      </c>
      <c r="AD27" s="18" t="n">
        <v>32</v>
      </c>
      <c r="AE27" s="18" t="n">
        <v>8</v>
      </c>
      <c r="AF27" s="18" t="n">
        <v>-0.043</v>
      </c>
      <c r="AG27" s="18" t="n">
        <v>0.54</v>
      </c>
      <c r="AH27" s="18" t="n">
        <v>5</v>
      </c>
      <c r="AI27" s="18" t="n">
        <v>91</v>
      </c>
      <c r="AJ27" s="18" t="n">
        <v>2149</v>
      </c>
      <c r="AK27" s="18" t="n">
        <v>198</v>
      </c>
      <c r="AL27" s="18" t="n">
        <v>6</v>
      </c>
      <c r="AM27" s="18" t="n">
        <v>3</v>
      </c>
      <c r="AN27" s="20" t="n">
        <v>-0.0444</v>
      </c>
      <c r="AO27" s="20" t="n">
        <v>0.0433</v>
      </c>
      <c r="AP27" s="20" t="n">
        <v>-0.0612</v>
      </c>
      <c r="AQ27" s="20" t="n">
        <v>0.0247</v>
      </c>
      <c r="AR27" s="18" t="n">
        <v>14</v>
      </c>
      <c r="AS27" s="18" t="n">
        <v>19</v>
      </c>
      <c r="AT27" s="18" t="n">
        <v>18</v>
      </c>
      <c r="AU27" s="18" t="n">
        <v>0</v>
      </c>
      <c r="AV27" s="18" t="n">
        <v>102</v>
      </c>
      <c r="AW27" s="18" t="n">
        <v>15.2</v>
      </c>
      <c r="AX27" s="18" t="n">
        <v>179.5</v>
      </c>
      <c r="AY27" s="18" t="s">
        <v>172</v>
      </c>
    </row>
    <row r="28" customFormat="false" ht="15" hidden="false" customHeight="false" outlineLevel="0" collapsed="false">
      <c r="A28" s="18" t="n">
        <v>27</v>
      </c>
      <c r="B28" s="18" t="s">
        <v>173</v>
      </c>
      <c r="C28" s="18" t="s">
        <v>146</v>
      </c>
      <c r="D28" s="18"/>
      <c r="E28" s="18" t="n">
        <v>0.5</v>
      </c>
      <c r="F28" s="18" t="n">
        <v>-1.25</v>
      </c>
      <c r="G28" s="18" t="n">
        <v>-0.93</v>
      </c>
      <c r="H28" s="18" t="n">
        <v>0</v>
      </c>
      <c r="I28" s="18" t="n">
        <v>0.6</v>
      </c>
      <c r="J28" s="18" t="n">
        <v>0.4</v>
      </c>
      <c r="K28" s="18" t="n">
        <v>3</v>
      </c>
      <c r="L28" s="18" t="n">
        <v>24</v>
      </c>
      <c r="M28" s="18" t="n">
        <v>20260905</v>
      </c>
      <c r="N28" s="18" t="n">
        <v>0</v>
      </c>
      <c r="O28" s="19" t="n">
        <v>0.8528</v>
      </c>
      <c r="P28" s="18" t="s">
        <v>174</v>
      </c>
      <c r="Q28" s="19" t="n">
        <v>0.71</v>
      </c>
      <c r="R28" s="19" t="n">
        <v>0.921</v>
      </c>
      <c r="S28" s="19" t="n">
        <v>0.815</v>
      </c>
      <c r="T28" s="19" t="n">
        <v>0.976</v>
      </c>
      <c r="U28" s="18" t="n">
        <v>8.8</v>
      </c>
      <c r="V28" s="19" t="n">
        <v>0.86</v>
      </c>
      <c r="W28" s="19" t="n">
        <v>0.845</v>
      </c>
      <c r="X28" s="19" t="n">
        <v>0.853</v>
      </c>
      <c r="Y28" s="19" t="n">
        <v>0.98</v>
      </c>
      <c r="Z28" s="18" t="n">
        <v>8.1</v>
      </c>
      <c r="AA28" s="18" t="n">
        <v>48</v>
      </c>
      <c r="AB28" s="18" t="n">
        <v>1</v>
      </c>
      <c r="AC28" s="18" t="n">
        <v>2.53</v>
      </c>
      <c r="AD28" s="18" t="n">
        <v>22.1</v>
      </c>
      <c r="AE28" s="18" t="n">
        <v>7.6</v>
      </c>
      <c r="AF28" s="18" t="n">
        <v>0.012</v>
      </c>
      <c r="AG28" s="18" t="n">
        <v>0.62</v>
      </c>
      <c r="AH28" s="18" t="n">
        <v>6</v>
      </c>
      <c r="AI28" s="18" t="n">
        <v>64</v>
      </c>
      <c r="AJ28" s="18" t="n">
        <v>2141</v>
      </c>
      <c r="AK28" s="18" t="n">
        <v>188</v>
      </c>
      <c r="AL28" s="18" t="n">
        <v>9</v>
      </c>
      <c r="AM28" s="18" t="n">
        <v>9</v>
      </c>
      <c r="AN28" s="20" t="n">
        <v>-0.0671</v>
      </c>
      <c r="AO28" s="20" t="n">
        <v>0.0687</v>
      </c>
      <c r="AP28" s="20" t="n">
        <v>-0.0541</v>
      </c>
      <c r="AQ28" s="20" t="n">
        <v>0.0282</v>
      </c>
      <c r="AR28" s="18" t="n">
        <v>17</v>
      </c>
      <c r="AS28" s="18" t="n">
        <v>7</v>
      </c>
      <c r="AT28" s="18" t="n">
        <v>8</v>
      </c>
      <c r="AU28" s="18" t="n">
        <v>0</v>
      </c>
      <c r="AV28" s="18" t="n">
        <v>116</v>
      </c>
      <c r="AW28" s="18" t="n">
        <v>16.1</v>
      </c>
      <c r="AX28" s="18" t="n">
        <v>132.7</v>
      </c>
      <c r="AY28" s="18" t="s">
        <v>175</v>
      </c>
    </row>
    <row r="29" customFormat="false" ht="15" hidden="false" customHeight="false" outlineLevel="0" collapsed="false">
      <c r="A29" s="18" t="n">
        <v>28</v>
      </c>
      <c r="B29" s="18" t="s">
        <v>176</v>
      </c>
      <c r="C29" s="18" t="s">
        <v>151</v>
      </c>
      <c r="D29" s="18"/>
      <c r="E29" s="18" t="n">
        <v>0.5</v>
      </c>
      <c r="F29" s="18" t="n">
        <v>-1.25</v>
      </c>
      <c r="G29" s="18" t="n">
        <v>-0.93</v>
      </c>
      <c r="H29" s="18" t="n">
        <v>0</v>
      </c>
      <c r="I29" s="18" t="n">
        <v>0.6</v>
      </c>
      <c r="J29" s="18" t="n">
        <v>0.5</v>
      </c>
      <c r="K29" s="18" t="n">
        <v>3</v>
      </c>
      <c r="L29" s="18" t="n">
        <v>24</v>
      </c>
      <c r="M29" s="18" t="n">
        <v>20260908</v>
      </c>
      <c r="N29" s="18" t="n">
        <v>1</v>
      </c>
      <c r="O29" s="19" t="n">
        <v>0.8805</v>
      </c>
      <c r="P29" s="18" t="s">
        <v>116</v>
      </c>
      <c r="Q29" s="19" t="n">
        <v>0.88</v>
      </c>
      <c r="R29" s="19" t="n">
        <v>0.881</v>
      </c>
      <c r="S29" s="19" t="n">
        <v>0.881</v>
      </c>
      <c r="T29" s="19" t="n">
        <v>0.991</v>
      </c>
      <c r="U29" s="18" t="n">
        <v>5.5</v>
      </c>
      <c r="V29" s="19" t="n">
        <v>0.113</v>
      </c>
      <c r="W29" s="19" t="n">
        <v>0.758</v>
      </c>
      <c r="X29" s="19" t="n">
        <v>0.435</v>
      </c>
      <c r="Y29" s="19" t="n">
        <v>0.956</v>
      </c>
      <c r="Z29" s="18" t="n">
        <v>11.9</v>
      </c>
      <c r="AA29" s="18" t="n">
        <v>48</v>
      </c>
      <c r="AB29" s="18" t="n">
        <v>1</v>
      </c>
      <c r="AC29" s="18" t="n">
        <v>2.84</v>
      </c>
      <c r="AD29" s="18" t="n">
        <v>15.5</v>
      </c>
      <c r="AE29" s="18" t="n">
        <v>7.4</v>
      </c>
      <c r="AF29" s="18" t="n">
        <v>0.018</v>
      </c>
      <c r="AG29" s="18" t="n">
        <v>0.71</v>
      </c>
      <c r="AH29" s="18" t="n">
        <v>7.6</v>
      </c>
      <c r="AI29" s="18" t="n">
        <v>77</v>
      </c>
      <c r="AJ29" s="18" t="n">
        <v>2152</v>
      </c>
      <c r="AK29" s="18" t="n">
        <v>186</v>
      </c>
      <c r="AL29" s="18" t="n">
        <v>3</v>
      </c>
      <c r="AM29" s="18" t="n">
        <v>6</v>
      </c>
      <c r="AN29" s="20" t="n">
        <v>-0.0631</v>
      </c>
      <c r="AO29" s="20" t="n">
        <v>0.0374</v>
      </c>
      <c r="AP29" s="20" t="n">
        <v>-0.0459</v>
      </c>
      <c r="AQ29" s="20" t="n">
        <v>0.0273</v>
      </c>
      <c r="AR29" s="18" t="n">
        <v>13</v>
      </c>
      <c r="AS29" s="18" t="n">
        <v>6</v>
      </c>
      <c r="AT29" s="18" t="n">
        <v>21</v>
      </c>
      <c r="AU29" s="18" t="n">
        <v>0</v>
      </c>
      <c r="AV29" s="18" t="n">
        <v>101</v>
      </c>
      <c r="AW29" s="18" t="n">
        <v>15.8</v>
      </c>
      <c r="AX29" s="18" t="n">
        <v>117.4</v>
      </c>
      <c r="AY29" s="18" t="s">
        <v>177</v>
      </c>
    </row>
    <row r="30" customFormat="false" ht="15" hidden="false" customHeight="false" outlineLevel="0" collapsed="false">
      <c r="A30" s="18" t="n">
        <v>29</v>
      </c>
      <c r="B30" s="18" t="s">
        <v>178</v>
      </c>
      <c r="C30" s="18" t="s">
        <v>146</v>
      </c>
      <c r="D30" s="18"/>
      <c r="E30" s="18" t="n">
        <v>0.5</v>
      </c>
      <c r="F30" s="18" t="n">
        <v>-1.25</v>
      </c>
      <c r="G30" s="18" t="n">
        <v>-1.03</v>
      </c>
      <c r="H30" s="18" t="n">
        <v>-0.1</v>
      </c>
      <c r="I30" s="18" t="n">
        <v>0.6</v>
      </c>
      <c r="J30" s="18" t="n">
        <v>0.5</v>
      </c>
      <c r="K30" s="18" t="n">
        <v>3</v>
      </c>
      <c r="L30" s="18" t="n">
        <v>24</v>
      </c>
      <c r="M30" s="18" t="n">
        <v>20260905</v>
      </c>
      <c r="N30" s="18" t="n">
        <v>0</v>
      </c>
      <c r="O30" s="19" t="n">
        <v>0.9116</v>
      </c>
      <c r="P30" s="18" t="s">
        <v>116</v>
      </c>
      <c r="Q30" s="19" t="n">
        <v>0.937</v>
      </c>
      <c r="R30" s="19" t="n">
        <v>0.887</v>
      </c>
      <c r="S30" s="19" t="n">
        <v>0.912</v>
      </c>
      <c r="T30" s="19" t="n">
        <v>0.989</v>
      </c>
      <c r="U30" s="18" t="n">
        <v>5.9</v>
      </c>
      <c r="V30" s="19" t="n">
        <v>0.91</v>
      </c>
      <c r="W30" s="19" t="n">
        <v>0.71</v>
      </c>
      <c r="X30" s="19" t="n">
        <v>0.81</v>
      </c>
      <c r="Y30" s="19" t="n">
        <v>0.977</v>
      </c>
      <c r="Z30" s="18" t="n">
        <v>8.6</v>
      </c>
      <c r="AA30" s="18" t="n">
        <v>48</v>
      </c>
      <c r="AB30" s="18" t="n">
        <v>1</v>
      </c>
      <c r="AC30" s="18" t="n">
        <v>3.5</v>
      </c>
      <c r="AD30" s="18" t="n">
        <v>20.5</v>
      </c>
      <c r="AE30" s="18" t="n">
        <v>6.7</v>
      </c>
      <c r="AF30" s="18" t="n">
        <v>-0.029</v>
      </c>
      <c r="AG30" s="18" t="n">
        <v>0.62</v>
      </c>
      <c r="AH30" s="18" t="n">
        <v>6.4</v>
      </c>
      <c r="AI30" s="18" t="n">
        <v>88</v>
      </c>
      <c r="AJ30" s="18" t="n">
        <v>2231</v>
      </c>
      <c r="AK30" s="18" t="n">
        <v>184</v>
      </c>
      <c r="AL30" s="18" t="n">
        <v>2</v>
      </c>
      <c r="AM30" s="18" t="n">
        <v>2</v>
      </c>
      <c r="AN30" s="20" t="n">
        <v>-0.0378</v>
      </c>
      <c r="AO30" s="20" t="n">
        <v>0.0271</v>
      </c>
      <c r="AP30" s="20" t="n">
        <v>-0.0318</v>
      </c>
      <c r="AQ30" s="20" t="n">
        <v>0.0363</v>
      </c>
      <c r="AR30" s="18" t="n">
        <v>12</v>
      </c>
      <c r="AS30" s="18" t="n">
        <v>13</v>
      </c>
      <c r="AT30" s="18" t="n">
        <v>18</v>
      </c>
      <c r="AU30" s="18" t="n">
        <v>0</v>
      </c>
      <c r="AV30" s="18" t="n">
        <v>103</v>
      </c>
      <c r="AW30" s="18" t="n">
        <v>15.8</v>
      </c>
      <c r="AX30" s="18" t="n">
        <v>119.6</v>
      </c>
      <c r="AY30" s="18" t="s">
        <v>179</v>
      </c>
    </row>
    <row r="31" customFormat="false" ht="15" hidden="false" customHeight="false" outlineLevel="0" collapsed="false">
      <c r="A31" s="18" t="n">
        <v>30</v>
      </c>
      <c r="B31" s="18" t="s">
        <v>180</v>
      </c>
      <c r="C31" s="18" t="s">
        <v>146</v>
      </c>
      <c r="D31" s="18"/>
      <c r="E31" s="18" t="n">
        <v>0.5</v>
      </c>
      <c r="F31" s="18" t="n">
        <v>-1.5</v>
      </c>
      <c r="G31" s="18" t="n">
        <v>-0.93</v>
      </c>
      <c r="H31" s="18" t="n">
        <v>0</v>
      </c>
      <c r="I31" s="18" t="n">
        <v>0.6</v>
      </c>
      <c r="J31" s="18" t="n">
        <v>0.5</v>
      </c>
      <c r="K31" s="18" t="n">
        <v>3</v>
      </c>
      <c r="L31" s="18" t="n">
        <v>24</v>
      </c>
      <c r="M31" s="18" t="n">
        <v>20260905</v>
      </c>
      <c r="N31" s="18" t="n">
        <v>0</v>
      </c>
      <c r="O31" s="19" t="n">
        <v>0.9261</v>
      </c>
      <c r="P31" s="18" t="s">
        <v>116</v>
      </c>
      <c r="Q31" s="19" t="n">
        <v>0.92</v>
      </c>
      <c r="R31" s="19" t="n">
        <v>0.932</v>
      </c>
      <c r="S31" s="19" t="n">
        <v>0.926</v>
      </c>
      <c r="T31" s="19" t="n">
        <v>0.989</v>
      </c>
      <c r="U31" s="18" t="n">
        <v>6.1</v>
      </c>
      <c r="V31" s="19" t="n">
        <v>0.836</v>
      </c>
      <c r="W31" s="19" t="n">
        <v>0.881</v>
      </c>
      <c r="X31" s="19" t="n">
        <v>0.859</v>
      </c>
      <c r="Y31" s="19" t="n">
        <v>0.98</v>
      </c>
      <c r="Z31" s="18" t="n">
        <v>8.4</v>
      </c>
      <c r="AA31" s="18" t="n">
        <v>48</v>
      </c>
      <c r="AB31" s="18" t="n">
        <v>1</v>
      </c>
      <c r="AC31" s="18" t="n">
        <v>4.16</v>
      </c>
      <c r="AD31" s="18" t="n">
        <v>25.3</v>
      </c>
      <c r="AE31" s="18" t="n">
        <v>8.1</v>
      </c>
      <c r="AF31" s="18" t="n">
        <v>0.004</v>
      </c>
      <c r="AG31" s="18" t="n">
        <v>0.71</v>
      </c>
      <c r="AH31" s="18" t="n">
        <v>5.6</v>
      </c>
      <c r="AI31" s="18" t="n">
        <v>86</v>
      </c>
      <c r="AJ31" s="18" t="n">
        <v>1795</v>
      </c>
      <c r="AK31" s="18" t="n">
        <v>223</v>
      </c>
      <c r="AL31" s="18" t="n">
        <v>5</v>
      </c>
      <c r="AM31" s="18" t="n">
        <v>12</v>
      </c>
      <c r="AN31" s="20" t="n">
        <v>-0.0563</v>
      </c>
      <c r="AO31" s="20" t="n">
        <v>0.0856</v>
      </c>
      <c r="AP31" s="20" t="n">
        <v>-0.0588</v>
      </c>
      <c r="AQ31" s="20" t="n">
        <v>0.0509</v>
      </c>
      <c r="AR31" s="18" t="n">
        <v>18</v>
      </c>
      <c r="AS31" s="18" t="n">
        <v>10</v>
      </c>
      <c r="AT31" s="18" t="n">
        <v>9</v>
      </c>
      <c r="AU31" s="18" t="n">
        <v>0</v>
      </c>
      <c r="AV31" s="18" t="n">
        <v>116</v>
      </c>
      <c r="AW31" s="18" t="n">
        <v>16.6</v>
      </c>
      <c r="AX31" s="18" t="n">
        <v>133.8</v>
      </c>
      <c r="AY31" s="18" t="s">
        <v>181</v>
      </c>
    </row>
    <row r="32" customFormat="false" ht="15" hidden="false" customHeight="false" outlineLevel="0" collapsed="false">
      <c r="A32" s="18" t="n">
        <v>31</v>
      </c>
      <c r="B32" s="18" t="s">
        <v>182</v>
      </c>
      <c r="C32" s="18" t="s">
        <v>114</v>
      </c>
      <c r="D32" s="18" t="s">
        <v>183</v>
      </c>
      <c r="E32" s="18" t="n">
        <v>0.7</v>
      </c>
      <c r="F32" s="18" t="n">
        <v>-1.25</v>
      </c>
      <c r="G32" s="18" t="n">
        <v>-0.93</v>
      </c>
      <c r="H32" s="18" t="n">
        <v>0</v>
      </c>
      <c r="I32" s="18" t="n">
        <v>0.7</v>
      </c>
      <c r="J32" s="18" t="n">
        <v>0.6</v>
      </c>
      <c r="K32" s="18" t="n">
        <v>3</v>
      </c>
      <c r="L32" s="18" t="n">
        <v>24</v>
      </c>
      <c r="M32" s="18" t="n">
        <v>20260906</v>
      </c>
      <c r="N32" s="18" t="n">
        <v>0</v>
      </c>
      <c r="O32" s="19" t="n">
        <v>0.9719</v>
      </c>
      <c r="P32" s="18" t="s">
        <v>116</v>
      </c>
      <c r="Q32" s="19" t="n">
        <v>0.965</v>
      </c>
      <c r="R32" s="19" t="n">
        <v>0.978</v>
      </c>
      <c r="S32" s="19" t="n">
        <v>0.972</v>
      </c>
      <c r="T32" s="19" t="n">
        <v>0.992</v>
      </c>
      <c r="U32" s="18" t="n">
        <v>5.6</v>
      </c>
      <c r="V32" s="19" t="n">
        <v>0.9</v>
      </c>
      <c r="W32" s="19" t="n">
        <v>0.971</v>
      </c>
      <c r="X32" s="19" t="n">
        <v>0.935</v>
      </c>
      <c r="Y32" s="19" t="n">
        <v>0.981</v>
      </c>
      <c r="Z32" s="18" t="n">
        <v>8.7</v>
      </c>
      <c r="AA32" s="18" t="n">
        <v>46</v>
      </c>
      <c r="AB32" s="18" t="n">
        <v>0.96</v>
      </c>
      <c r="AC32" s="18" t="n">
        <v>6.23</v>
      </c>
      <c r="AD32" s="18" t="n">
        <v>35</v>
      </c>
      <c r="AE32" s="18" t="n">
        <v>7.3</v>
      </c>
      <c r="AF32" s="18" t="n">
        <v>-0.015</v>
      </c>
      <c r="AG32" s="18" t="n">
        <v>0.62</v>
      </c>
      <c r="AH32" s="18" t="n">
        <v>5.6</v>
      </c>
      <c r="AI32" s="18" t="n">
        <v>96</v>
      </c>
      <c r="AJ32" s="18" t="n">
        <v>2115</v>
      </c>
      <c r="AK32" s="18" t="n">
        <v>186</v>
      </c>
      <c r="AL32" s="18" t="n">
        <v>4</v>
      </c>
      <c r="AM32" s="18" t="n">
        <v>2</v>
      </c>
      <c r="AN32" s="20" t="n">
        <v>-0.038</v>
      </c>
      <c r="AO32" s="20" t="n">
        <v>0.0616</v>
      </c>
      <c r="AP32" s="20" t="n">
        <v>-0.0515</v>
      </c>
      <c r="AQ32" s="20" t="n">
        <v>0.0334</v>
      </c>
      <c r="AR32" s="18" t="n">
        <v>10</v>
      </c>
      <c r="AS32" s="18" t="n">
        <v>11</v>
      </c>
      <c r="AT32" s="18" t="n">
        <v>20</v>
      </c>
      <c r="AU32" s="18" t="n">
        <v>0</v>
      </c>
      <c r="AV32" s="18" t="n">
        <v>94</v>
      </c>
      <c r="AW32" s="18" t="n">
        <v>16.2</v>
      </c>
      <c r="AX32" s="18" t="n">
        <v>111.7</v>
      </c>
      <c r="AY32" s="18" t="s">
        <v>184</v>
      </c>
    </row>
    <row r="33" customFormat="false" ht="15" hidden="false" customHeight="false" outlineLevel="0" collapsed="false">
      <c r="A33" s="18" t="n">
        <v>32</v>
      </c>
      <c r="B33" s="18" t="s">
        <v>185</v>
      </c>
      <c r="C33" s="18" t="s">
        <v>114</v>
      </c>
      <c r="D33" s="18" t="s">
        <v>183</v>
      </c>
      <c r="E33" s="18" t="n">
        <v>0.7</v>
      </c>
      <c r="F33" s="18" t="n">
        <v>-1.25</v>
      </c>
      <c r="G33" s="18" t="n">
        <v>-0.93</v>
      </c>
      <c r="H33" s="18" t="n">
        <v>0</v>
      </c>
      <c r="I33" s="18" t="n">
        <v>0.7</v>
      </c>
      <c r="J33" s="18" t="n">
        <v>0.6</v>
      </c>
      <c r="K33" s="18" t="n">
        <v>3</v>
      </c>
      <c r="L33" s="18" t="n">
        <v>24</v>
      </c>
      <c r="M33" s="18" t="n">
        <v>20260907</v>
      </c>
      <c r="N33" s="18" t="n">
        <v>0</v>
      </c>
      <c r="O33" s="19" t="n">
        <v>0.9808</v>
      </c>
      <c r="P33" s="18" t="s">
        <v>116</v>
      </c>
      <c r="Q33" s="19" t="n">
        <v>0.975</v>
      </c>
      <c r="R33" s="19" t="n">
        <v>0.987</v>
      </c>
      <c r="S33" s="19" t="n">
        <v>0.981</v>
      </c>
      <c r="T33" s="19" t="n">
        <v>0.992</v>
      </c>
      <c r="U33" s="18" t="n">
        <v>5.9</v>
      </c>
      <c r="V33" s="19" t="n">
        <v>0.975</v>
      </c>
      <c r="W33" s="19" t="n">
        <v>0.979</v>
      </c>
      <c r="X33" s="19" t="n">
        <v>0.977</v>
      </c>
      <c r="Y33" s="19" t="n">
        <v>0.991</v>
      </c>
      <c r="Z33" s="18" t="n">
        <v>6.5</v>
      </c>
      <c r="AA33" s="18" t="n">
        <v>48</v>
      </c>
      <c r="AB33" s="18" t="n">
        <v>1</v>
      </c>
      <c r="AC33" s="18" t="n">
        <v>7.09</v>
      </c>
      <c r="AD33" s="18" t="n">
        <v>42.1</v>
      </c>
      <c r="AE33" s="18" t="n">
        <v>7</v>
      </c>
      <c r="AF33" s="18" t="n">
        <v>0.009</v>
      </c>
      <c r="AG33" s="18" t="n">
        <v>0.58</v>
      </c>
      <c r="AH33" s="18" t="n">
        <v>4.3</v>
      </c>
      <c r="AI33" s="18" t="n">
        <v>133</v>
      </c>
      <c r="AJ33" s="18" t="n">
        <v>2103</v>
      </c>
      <c r="AK33" s="18" t="n">
        <v>188</v>
      </c>
      <c r="AL33" s="18" t="n">
        <v>4</v>
      </c>
      <c r="AM33" s="18" t="n">
        <v>17</v>
      </c>
      <c r="AN33" s="20" t="n">
        <v>-0.0578</v>
      </c>
      <c r="AO33" s="20" t="n">
        <v>0.0267</v>
      </c>
      <c r="AP33" s="20" t="n">
        <v>-0.0431</v>
      </c>
      <c r="AQ33" s="20" t="n">
        <v>0.0234</v>
      </c>
      <c r="AR33" s="18" t="n">
        <v>9</v>
      </c>
      <c r="AS33" s="18" t="n">
        <v>24</v>
      </c>
      <c r="AT33" s="18" t="n">
        <v>22</v>
      </c>
      <c r="AU33" s="18" t="n">
        <v>0</v>
      </c>
      <c r="AV33" s="18" t="n">
        <v>77</v>
      </c>
      <c r="AW33" s="18" t="n">
        <v>15.9</v>
      </c>
      <c r="AX33" s="18" t="n">
        <v>93.6</v>
      </c>
      <c r="AY33" s="18" t="s">
        <v>186</v>
      </c>
    </row>
    <row r="34" customFormat="false" ht="15" hidden="false" customHeight="false" outlineLevel="0" collapsed="false">
      <c r="A34" s="18" t="n">
        <v>33</v>
      </c>
      <c r="B34" s="18" t="s">
        <v>187</v>
      </c>
      <c r="C34" s="18" t="s">
        <v>114</v>
      </c>
      <c r="D34" s="18" t="s">
        <v>183</v>
      </c>
      <c r="E34" s="18" t="n">
        <v>0.7</v>
      </c>
      <c r="F34" s="18" t="n">
        <v>-1.25</v>
      </c>
      <c r="G34" s="18" t="n">
        <v>-0.93</v>
      </c>
      <c r="H34" s="18" t="n">
        <v>0</v>
      </c>
      <c r="I34" s="18" t="n">
        <v>0.7</v>
      </c>
      <c r="J34" s="18" t="n">
        <v>0.5</v>
      </c>
      <c r="K34" s="18" t="n">
        <v>3</v>
      </c>
      <c r="L34" s="18" t="n">
        <v>24</v>
      </c>
      <c r="M34" s="18" t="n">
        <v>20260906</v>
      </c>
      <c r="N34" s="18" t="n">
        <v>0</v>
      </c>
      <c r="O34" s="19" t="n">
        <v>0.9592</v>
      </c>
      <c r="P34" s="18" t="s">
        <v>116</v>
      </c>
      <c r="Q34" s="19" t="n">
        <v>0.97</v>
      </c>
      <c r="R34" s="19" t="n">
        <v>0.948</v>
      </c>
      <c r="S34" s="19" t="n">
        <v>0.959</v>
      </c>
      <c r="T34" s="19" t="n">
        <v>0.989</v>
      </c>
      <c r="U34" s="18" t="n">
        <v>6.9</v>
      </c>
      <c r="V34" s="19" t="n">
        <v>0.928</v>
      </c>
      <c r="W34" s="19" t="n">
        <v>0.92</v>
      </c>
      <c r="X34" s="19" t="n">
        <v>0.924</v>
      </c>
      <c r="Y34" s="19" t="n">
        <v>0.978</v>
      </c>
      <c r="Z34" s="18" t="n">
        <v>9.5</v>
      </c>
      <c r="AA34" s="18" t="n">
        <v>48</v>
      </c>
      <c r="AB34" s="18" t="n">
        <v>1</v>
      </c>
      <c r="AC34" s="18" t="n">
        <v>5.18</v>
      </c>
      <c r="AD34" s="18" t="n">
        <v>35.8</v>
      </c>
      <c r="AE34" s="18" t="n">
        <v>6.9</v>
      </c>
      <c r="AF34" s="18" t="n">
        <v>-0.008</v>
      </c>
      <c r="AG34" s="18" t="n">
        <v>0.62</v>
      </c>
      <c r="AH34" s="18" t="n">
        <v>5.9</v>
      </c>
      <c r="AI34" s="18" t="n">
        <v>111</v>
      </c>
      <c r="AJ34" s="18" t="n">
        <v>2103</v>
      </c>
      <c r="AK34" s="18" t="n">
        <v>194</v>
      </c>
      <c r="AL34" s="18" t="n">
        <v>3</v>
      </c>
      <c r="AM34" s="18" t="n">
        <v>2</v>
      </c>
      <c r="AN34" s="20" t="n">
        <v>-0.0439</v>
      </c>
      <c r="AO34" s="20" t="n">
        <v>0.0253</v>
      </c>
      <c r="AP34" s="20" t="n">
        <v>-0.0551</v>
      </c>
      <c r="AQ34" s="20" t="n">
        <v>0.0154</v>
      </c>
      <c r="AR34" s="18" t="n">
        <v>15</v>
      </c>
      <c r="AS34" s="18" t="n">
        <v>8</v>
      </c>
      <c r="AT34" s="18" t="n">
        <v>19</v>
      </c>
      <c r="AU34" s="18" t="n">
        <v>0</v>
      </c>
      <c r="AV34" s="18" t="n">
        <v>97</v>
      </c>
      <c r="AW34" s="18" t="n">
        <v>15.7</v>
      </c>
      <c r="AX34" s="18" t="n">
        <v>114.4</v>
      </c>
      <c r="AY34" s="18" t="s">
        <v>188</v>
      </c>
    </row>
    <row r="35" customFormat="false" ht="15" hidden="false" customHeight="false" outlineLevel="0" collapsed="false">
      <c r="A35" s="18" t="n">
        <v>34</v>
      </c>
      <c r="B35" s="18" t="s">
        <v>189</v>
      </c>
      <c r="C35" s="18" t="s">
        <v>114</v>
      </c>
      <c r="D35" s="18" t="s">
        <v>183</v>
      </c>
      <c r="E35" s="18" t="n">
        <v>0.75</v>
      </c>
      <c r="F35" s="18" t="n">
        <v>-1.25</v>
      </c>
      <c r="G35" s="18" t="n">
        <v>-0.93</v>
      </c>
      <c r="H35" s="18" t="n">
        <v>0</v>
      </c>
      <c r="I35" s="18" t="n">
        <v>0.8</v>
      </c>
      <c r="J35" s="18" t="n">
        <v>0.5</v>
      </c>
      <c r="K35" s="18" t="n">
        <v>3</v>
      </c>
      <c r="L35" s="18" t="n">
        <v>24</v>
      </c>
      <c r="M35" s="18" t="n">
        <v>20260906</v>
      </c>
      <c r="N35" s="18" t="n">
        <v>0</v>
      </c>
      <c r="O35" s="19" t="n">
        <v>0.9463</v>
      </c>
      <c r="P35" s="18" t="s">
        <v>116</v>
      </c>
      <c r="Q35" s="19" t="n">
        <v>0.926</v>
      </c>
      <c r="R35" s="19" t="n">
        <v>0.967</v>
      </c>
      <c r="S35" s="19" t="n">
        <v>0.946</v>
      </c>
      <c r="T35" s="19" t="n">
        <v>0.982</v>
      </c>
      <c r="U35" s="18" t="n">
        <v>8.9</v>
      </c>
      <c r="V35" s="19" t="n">
        <v>0.935</v>
      </c>
      <c r="W35" s="19" t="n">
        <v>0.94</v>
      </c>
      <c r="X35" s="19" t="n">
        <v>0.937</v>
      </c>
      <c r="Y35" s="19" t="n">
        <v>0.979</v>
      </c>
      <c r="Z35" s="18" t="n">
        <v>9.6</v>
      </c>
      <c r="AA35" s="18" t="n">
        <v>48</v>
      </c>
      <c r="AB35" s="18" t="n">
        <v>1</v>
      </c>
      <c r="AC35" s="18" t="n">
        <v>4.68</v>
      </c>
      <c r="AD35" s="18" t="n">
        <v>41.5</v>
      </c>
      <c r="AE35" s="18" t="n">
        <v>6.1</v>
      </c>
      <c r="AF35" s="18" t="n">
        <v>0.016</v>
      </c>
      <c r="AG35" s="18" t="n">
        <v>0.38</v>
      </c>
      <c r="AH35" s="18" t="n">
        <v>5.3</v>
      </c>
      <c r="AI35" s="18" t="n">
        <v>146</v>
      </c>
      <c r="AJ35" s="18" t="n">
        <v>2077</v>
      </c>
      <c r="AK35" s="18" t="n">
        <v>190</v>
      </c>
      <c r="AL35" s="18" t="n">
        <v>8</v>
      </c>
      <c r="AM35" s="18" t="n">
        <v>12</v>
      </c>
      <c r="AN35" s="20" t="n">
        <v>-0.0571</v>
      </c>
      <c r="AO35" s="20" t="n">
        <v>0.0552</v>
      </c>
      <c r="AP35" s="20" t="n">
        <v>-0.0702</v>
      </c>
      <c r="AQ35" s="20" t="n">
        <v>0.0286</v>
      </c>
      <c r="AR35" s="18" t="n">
        <v>16</v>
      </c>
      <c r="AS35" s="18" t="n">
        <v>18</v>
      </c>
      <c r="AT35" s="18" t="n">
        <v>25</v>
      </c>
      <c r="AU35" s="18" t="n">
        <v>0</v>
      </c>
      <c r="AV35" s="18" t="n">
        <v>113</v>
      </c>
      <c r="AW35" s="18" t="n">
        <v>16.2</v>
      </c>
      <c r="AX35" s="18" t="n">
        <v>130.1</v>
      </c>
      <c r="AY35" s="18" t="s">
        <v>190</v>
      </c>
    </row>
    <row r="36" customFormat="false" ht="15" hidden="false" customHeight="false" outlineLevel="0" collapsed="false">
      <c r="A36" s="18" t="n">
        <v>35</v>
      </c>
      <c r="B36" s="18" t="s">
        <v>191</v>
      </c>
      <c r="C36" s="18" t="s">
        <v>114</v>
      </c>
      <c r="D36" s="18" t="s">
        <v>192</v>
      </c>
      <c r="E36" s="18" t="n">
        <v>0.75</v>
      </c>
      <c r="F36" s="18" t="n">
        <v>-1.25</v>
      </c>
      <c r="G36" s="18" t="n">
        <v>-0.93</v>
      </c>
      <c r="H36" s="18" t="n">
        <v>0</v>
      </c>
      <c r="I36" s="18" t="n">
        <v>0.8</v>
      </c>
      <c r="J36" s="18" t="n">
        <v>0.6</v>
      </c>
      <c r="K36" s="18" t="n">
        <v>3</v>
      </c>
      <c r="L36" s="18" t="n">
        <v>24</v>
      </c>
      <c r="M36" s="18" t="n">
        <v>20260905</v>
      </c>
      <c r="N36" s="18" t="n">
        <v>0</v>
      </c>
      <c r="O36" s="19" t="n">
        <v>0.9846</v>
      </c>
      <c r="P36" s="18" t="s">
        <v>116</v>
      </c>
      <c r="Q36" s="19" t="n">
        <v>0.99</v>
      </c>
      <c r="R36" s="19" t="n">
        <v>0.979</v>
      </c>
      <c r="S36" s="19" t="n">
        <v>0.985</v>
      </c>
      <c r="T36" s="19" t="n">
        <v>0.994</v>
      </c>
      <c r="U36" s="18" t="n">
        <v>5.6</v>
      </c>
      <c r="V36" s="19" t="n">
        <v>0.894</v>
      </c>
      <c r="W36" s="19" t="n">
        <v>0.927</v>
      </c>
      <c r="X36" s="19" t="n">
        <v>0.91</v>
      </c>
      <c r="Y36" s="19" t="n">
        <v>0.97</v>
      </c>
      <c r="Z36" s="18" t="n">
        <v>11.4</v>
      </c>
      <c r="AA36" s="18" t="n">
        <v>46</v>
      </c>
      <c r="AB36" s="18" t="n">
        <v>0.96</v>
      </c>
      <c r="AC36" s="18" t="n">
        <v>8.63</v>
      </c>
      <c r="AD36" s="18" t="n">
        <v>48.4</v>
      </c>
      <c r="AE36" s="18" t="n">
        <v>9.1</v>
      </c>
      <c r="AF36" s="18" t="n">
        <v>-0.019</v>
      </c>
      <c r="AG36" s="18" t="n">
        <v>0.54</v>
      </c>
      <c r="AH36" s="18" t="n">
        <v>4.6</v>
      </c>
      <c r="AI36" s="18" t="n">
        <v>162</v>
      </c>
      <c r="AJ36" s="18" t="n">
        <v>2068</v>
      </c>
      <c r="AK36" s="18" t="n">
        <v>194</v>
      </c>
      <c r="AL36" s="18" t="n">
        <v>2</v>
      </c>
      <c r="AM36" s="18" t="n">
        <v>9</v>
      </c>
      <c r="AN36" s="20" t="n">
        <v>-0.0532</v>
      </c>
      <c r="AO36" s="20" t="n">
        <v>0.0539</v>
      </c>
      <c r="AP36" s="20" t="n">
        <v>-0.0407</v>
      </c>
      <c r="AQ36" s="20" t="n">
        <v>0.0389</v>
      </c>
      <c r="AR36" s="18" t="n">
        <v>12</v>
      </c>
      <c r="AS36" s="18" t="n">
        <v>8</v>
      </c>
      <c r="AT36" s="18" t="n">
        <v>6</v>
      </c>
      <c r="AU36" s="18" t="n">
        <v>0</v>
      </c>
      <c r="AV36" s="18" t="n">
        <v>111</v>
      </c>
      <c r="AW36" s="18" t="n">
        <v>16.8</v>
      </c>
      <c r="AX36" s="18" t="n">
        <v>128.8</v>
      </c>
      <c r="AY36" s="18" t="s">
        <v>193</v>
      </c>
    </row>
    <row r="37" customFormat="false" ht="15" hidden="false" customHeight="false" outlineLevel="0" collapsed="false">
      <c r="A37" s="18" t="n">
        <v>36</v>
      </c>
      <c r="B37" s="18" t="s">
        <v>194</v>
      </c>
      <c r="C37" s="18" t="s">
        <v>114</v>
      </c>
      <c r="D37" s="18" t="s">
        <v>192</v>
      </c>
      <c r="E37" s="18" t="n">
        <v>0.7</v>
      </c>
      <c r="F37" s="18" t="n">
        <v>-1.25</v>
      </c>
      <c r="G37" s="18" t="n">
        <v>-0.93</v>
      </c>
      <c r="H37" s="18" t="n">
        <v>0</v>
      </c>
      <c r="I37" s="18" t="n">
        <v>0.7</v>
      </c>
      <c r="J37" s="18" t="n">
        <v>0.7</v>
      </c>
      <c r="K37" s="18" t="n">
        <v>3</v>
      </c>
      <c r="L37" s="18" t="n">
        <v>24</v>
      </c>
      <c r="M37" s="18" t="n">
        <v>20260905</v>
      </c>
      <c r="N37" s="18" t="n">
        <v>0</v>
      </c>
      <c r="O37" s="19" t="n">
        <v>0.9796</v>
      </c>
      <c r="P37" s="18" t="s">
        <v>116</v>
      </c>
      <c r="Q37" s="19" t="n">
        <v>0.98</v>
      </c>
      <c r="R37" s="19" t="n">
        <v>0.979</v>
      </c>
      <c r="S37" s="19" t="n">
        <v>0.98</v>
      </c>
      <c r="T37" s="19" t="n">
        <v>0.993</v>
      </c>
      <c r="U37" s="18" t="n">
        <v>6</v>
      </c>
      <c r="V37" s="19" t="n">
        <v>0.898</v>
      </c>
      <c r="W37" s="19" t="n">
        <v>0.954</v>
      </c>
      <c r="X37" s="19" t="n">
        <v>0.926</v>
      </c>
      <c r="Y37" s="19" t="n">
        <v>0.974</v>
      </c>
      <c r="Z37" s="18" t="n">
        <v>11.2</v>
      </c>
      <c r="AA37" s="18" t="n">
        <v>48</v>
      </c>
      <c r="AB37" s="18" t="n">
        <v>1</v>
      </c>
      <c r="AC37" s="18" t="n">
        <v>7.01</v>
      </c>
      <c r="AD37" s="18" t="n">
        <v>41.8</v>
      </c>
      <c r="AE37" s="18" t="n">
        <v>7.9</v>
      </c>
      <c r="AF37" s="18" t="n">
        <v>0.025</v>
      </c>
      <c r="AG37" s="18" t="n">
        <v>0.33</v>
      </c>
      <c r="AH37" s="18" t="n">
        <v>6.2</v>
      </c>
      <c r="AI37" s="18" t="n">
        <v>119</v>
      </c>
      <c r="AJ37" s="18" t="n">
        <v>2119</v>
      </c>
      <c r="AK37" s="18" t="n">
        <v>192</v>
      </c>
      <c r="AL37" s="18" t="n">
        <v>2</v>
      </c>
      <c r="AM37" s="18" t="n">
        <v>3</v>
      </c>
      <c r="AN37" s="20" t="n">
        <v>-0.0571</v>
      </c>
      <c r="AO37" s="20" t="n">
        <v>0.0343</v>
      </c>
      <c r="AP37" s="20" t="n">
        <v>-0.0392</v>
      </c>
      <c r="AQ37" s="20" t="n">
        <v>0.0427</v>
      </c>
      <c r="AR37" s="18" t="n">
        <v>9</v>
      </c>
      <c r="AS37" s="18" t="n">
        <v>22</v>
      </c>
      <c r="AT37" s="18" t="n">
        <v>11</v>
      </c>
      <c r="AU37" s="18" t="n">
        <v>0</v>
      </c>
      <c r="AV37" s="18" t="n">
        <v>118</v>
      </c>
      <c r="AW37" s="18" t="n">
        <v>16.9</v>
      </c>
      <c r="AX37" s="18" t="n">
        <v>197.4</v>
      </c>
      <c r="AY37" s="18" t="s">
        <v>195</v>
      </c>
    </row>
    <row r="38" customFormat="false" ht="15" hidden="false" customHeight="false" outlineLevel="0" collapsed="false">
      <c r="A38" s="18" t="n">
        <v>37</v>
      </c>
      <c r="B38" s="18" t="s">
        <v>196</v>
      </c>
      <c r="C38" s="18" t="s">
        <v>114</v>
      </c>
      <c r="D38" s="18" t="s">
        <v>192</v>
      </c>
      <c r="E38" s="18" t="n">
        <v>0.7</v>
      </c>
      <c r="F38" s="18" t="n">
        <v>-1.5</v>
      </c>
      <c r="G38" s="18" t="n">
        <v>-0.93</v>
      </c>
      <c r="H38" s="18" t="n">
        <v>0</v>
      </c>
      <c r="I38" s="18" t="n">
        <v>0.7</v>
      </c>
      <c r="J38" s="18" t="n">
        <v>0.6</v>
      </c>
      <c r="K38" s="18" t="n">
        <v>3</v>
      </c>
      <c r="L38" s="18" t="n">
        <v>24</v>
      </c>
      <c r="M38" s="18" t="n">
        <v>20260905</v>
      </c>
      <c r="N38" s="18" t="n">
        <v>0</v>
      </c>
      <c r="O38" s="19" t="n">
        <v>0.98</v>
      </c>
      <c r="P38" s="18" t="s">
        <v>116</v>
      </c>
      <c r="Q38" s="19" t="n">
        <v>0.983</v>
      </c>
      <c r="R38" s="19" t="n">
        <v>0.977</v>
      </c>
      <c r="S38" s="19" t="n">
        <v>0.98</v>
      </c>
      <c r="T38" s="19" t="n">
        <v>0.992</v>
      </c>
      <c r="U38" s="18" t="n">
        <v>6.2</v>
      </c>
      <c r="V38" s="19" t="n">
        <v>0.951</v>
      </c>
      <c r="W38" s="19" t="n">
        <v>0.948</v>
      </c>
      <c r="X38" s="19" t="n">
        <v>0.949</v>
      </c>
      <c r="Y38" s="19" t="n">
        <v>0.984</v>
      </c>
      <c r="Z38" s="18" t="n">
        <v>8.3</v>
      </c>
      <c r="AA38" s="18" t="n">
        <v>46</v>
      </c>
      <c r="AB38" s="18" t="n">
        <v>0.96</v>
      </c>
      <c r="AC38" s="18" t="n">
        <v>7.12</v>
      </c>
      <c r="AD38" s="18" t="n">
        <v>44.3</v>
      </c>
      <c r="AE38" s="18" t="n">
        <v>7.6</v>
      </c>
      <c r="AF38" s="18" t="n">
        <v>-0.015</v>
      </c>
      <c r="AG38" s="18" t="n">
        <v>0.5</v>
      </c>
      <c r="AH38" s="18" t="n">
        <v>7</v>
      </c>
      <c r="AI38" s="18" t="n">
        <v>109</v>
      </c>
      <c r="AJ38" s="18" t="n">
        <v>1750</v>
      </c>
      <c r="AK38" s="18" t="n">
        <v>204</v>
      </c>
      <c r="AL38" s="18" t="n">
        <v>5</v>
      </c>
      <c r="AM38" s="18" t="n">
        <v>5</v>
      </c>
      <c r="AN38" s="20" t="n">
        <v>-0.0548</v>
      </c>
      <c r="AO38" s="20" t="n">
        <v>0.0716</v>
      </c>
      <c r="AP38" s="20" t="n">
        <v>-0.071</v>
      </c>
      <c r="AQ38" s="20" t="n">
        <v>0.0668</v>
      </c>
      <c r="AR38" s="18" t="n">
        <v>12</v>
      </c>
      <c r="AS38" s="18" t="n">
        <v>7</v>
      </c>
      <c r="AT38" s="18" t="n">
        <v>23</v>
      </c>
      <c r="AU38" s="18" t="n">
        <v>0</v>
      </c>
      <c r="AV38" s="18" t="n">
        <v>133</v>
      </c>
      <c r="AW38" s="18" t="n">
        <v>15.5</v>
      </c>
      <c r="AX38" s="18" t="n">
        <v>272.5</v>
      </c>
      <c r="AY38" s="18" t="s">
        <v>197</v>
      </c>
    </row>
    <row r="39" customFormat="false" ht="15" hidden="false" customHeight="false" outlineLevel="0" collapsed="false">
      <c r="A39" s="18" t="n">
        <v>38</v>
      </c>
      <c r="B39" s="18" t="s">
        <v>198</v>
      </c>
      <c r="C39" s="18" t="s">
        <v>114</v>
      </c>
      <c r="D39" s="18" t="s">
        <v>183</v>
      </c>
      <c r="E39" s="18" t="n">
        <v>0.6</v>
      </c>
      <c r="F39" s="18" t="n">
        <v>-1.25</v>
      </c>
      <c r="G39" s="18" t="n">
        <v>-0.93</v>
      </c>
      <c r="H39" s="18" t="n">
        <v>0</v>
      </c>
      <c r="I39" s="18" t="n">
        <v>0.6</v>
      </c>
      <c r="J39" s="18" t="n">
        <v>0.5</v>
      </c>
      <c r="K39" s="18" t="n">
        <v>3</v>
      </c>
      <c r="L39" s="18" t="n">
        <v>24</v>
      </c>
      <c r="M39" s="18" t="n">
        <v>20260906</v>
      </c>
      <c r="N39" s="18" t="n">
        <v>0</v>
      </c>
      <c r="O39" s="19" t="n">
        <v>0.9358</v>
      </c>
      <c r="P39" s="18" t="s">
        <v>116</v>
      </c>
      <c r="Q39" s="19" t="n">
        <v>0.939</v>
      </c>
      <c r="R39" s="19" t="n">
        <v>0.933</v>
      </c>
      <c r="S39" s="19" t="n">
        <v>0.936</v>
      </c>
      <c r="T39" s="19" t="n">
        <v>0.988</v>
      </c>
      <c r="U39" s="18" t="n">
        <v>6.4</v>
      </c>
      <c r="V39" s="19" t="n">
        <v>0.944</v>
      </c>
      <c r="W39" s="19" t="n">
        <v>0.848</v>
      </c>
      <c r="X39" s="19" t="n">
        <v>0.896</v>
      </c>
      <c r="Y39" s="19" t="n">
        <v>0.981</v>
      </c>
      <c r="Z39" s="18" t="n">
        <v>8.2</v>
      </c>
      <c r="AA39" s="18" t="n">
        <v>48</v>
      </c>
      <c r="AB39" s="18" t="n">
        <v>1</v>
      </c>
      <c r="AC39" s="18" t="n">
        <v>4.01</v>
      </c>
      <c r="AD39" s="18" t="n">
        <v>25.8</v>
      </c>
      <c r="AE39" s="18" t="n">
        <v>7.4</v>
      </c>
      <c r="AF39" s="18" t="n">
        <v>0.011</v>
      </c>
      <c r="AG39" s="18" t="n">
        <v>0.62</v>
      </c>
      <c r="AH39" s="18" t="n">
        <v>5.5</v>
      </c>
      <c r="AI39" s="18" t="n">
        <v>85</v>
      </c>
      <c r="AJ39" s="18" t="n">
        <v>2138</v>
      </c>
      <c r="AK39" s="18" t="n">
        <v>191</v>
      </c>
      <c r="AL39" s="18" t="n">
        <v>5</v>
      </c>
      <c r="AM39" s="18" t="n">
        <v>3</v>
      </c>
      <c r="AN39" s="20" t="n">
        <v>-0.0683</v>
      </c>
      <c r="AO39" s="20" t="n">
        <v>0.0452</v>
      </c>
      <c r="AP39" s="20" t="n">
        <v>-0.0609</v>
      </c>
      <c r="AQ39" s="20" t="n">
        <v>0.0432</v>
      </c>
      <c r="AR39" s="18" t="n">
        <v>12</v>
      </c>
      <c r="AS39" s="18" t="n">
        <v>14</v>
      </c>
      <c r="AT39" s="18" t="n">
        <v>9</v>
      </c>
      <c r="AU39" s="18" t="n">
        <v>0</v>
      </c>
      <c r="AV39" s="18" t="n">
        <v>76</v>
      </c>
      <c r="AW39" s="18" t="n">
        <v>16.3</v>
      </c>
      <c r="AX39" s="18" t="n">
        <v>93.5</v>
      </c>
      <c r="AY39" s="18" t="s">
        <v>199</v>
      </c>
    </row>
    <row r="40" customFormat="false" ht="15" hidden="false" customHeight="false" outlineLevel="0" collapsed="false">
      <c r="A40" s="18" t="n">
        <v>39</v>
      </c>
      <c r="B40" s="18" t="s">
        <v>200</v>
      </c>
      <c r="C40" s="18" t="s">
        <v>114</v>
      </c>
      <c r="D40" s="18" t="s">
        <v>192</v>
      </c>
      <c r="E40" s="18" t="n">
        <v>0.7</v>
      </c>
      <c r="F40" s="18" t="n">
        <v>-1.25</v>
      </c>
      <c r="G40" s="18" t="n">
        <v>-0.93</v>
      </c>
      <c r="H40" s="18" t="n">
        <v>0</v>
      </c>
      <c r="I40" s="18" t="n">
        <v>0.8</v>
      </c>
      <c r="J40" s="18" t="n">
        <v>0.6</v>
      </c>
      <c r="K40" s="18" t="n">
        <v>3</v>
      </c>
      <c r="L40" s="18" t="n">
        <v>24</v>
      </c>
      <c r="M40" s="18" t="n">
        <v>20260905</v>
      </c>
      <c r="N40" s="18" t="n">
        <v>0</v>
      </c>
      <c r="O40" s="19" t="n">
        <v>0.9785</v>
      </c>
      <c r="P40" s="18" t="s">
        <v>116</v>
      </c>
      <c r="Q40" s="19" t="n">
        <v>0.988</v>
      </c>
      <c r="R40" s="19" t="n">
        <v>0.969</v>
      </c>
      <c r="S40" s="19" t="n">
        <v>0.978</v>
      </c>
      <c r="T40" s="19" t="n">
        <v>0.993</v>
      </c>
      <c r="U40" s="18" t="n">
        <v>5.7</v>
      </c>
      <c r="V40" s="19" t="n">
        <v>0.971</v>
      </c>
      <c r="W40" s="19" t="n">
        <v>0.956</v>
      </c>
      <c r="X40" s="19" t="n">
        <v>0.964</v>
      </c>
      <c r="Y40" s="19" t="n">
        <v>0.987</v>
      </c>
      <c r="Z40" s="18" t="n">
        <v>7.4</v>
      </c>
      <c r="AA40" s="18" t="n">
        <v>48</v>
      </c>
      <c r="AB40" s="18" t="n">
        <v>1</v>
      </c>
      <c r="AC40" s="18" t="n">
        <v>7.2</v>
      </c>
      <c r="AD40" s="18" t="n">
        <v>40.8</v>
      </c>
      <c r="AE40" s="18" t="n">
        <v>6.5</v>
      </c>
      <c r="AF40" s="18" t="n">
        <v>-0.029</v>
      </c>
      <c r="AG40" s="18" t="n">
        <v>0.54</v>
      </c>
      <c r="AH40" s="18" t="n">
        <v>5.2</v>
      </c>
      <c r="AI40" s="18" t="n">
        <v>146</v>
      </c>
      <c r="AJ40" s="18" t="n">
        <v>2067</v>
      </c>
      <c r="AK40" s="18" t="n">
        <v>187</v>
      </c>
      <c r="AL40" s="18" t="n">
        <v>2</v>
      </c>
      <c r="AM40" s="18" t="n">
        <v>12</v>
      </c>
      <c r="AN40" s="20" t="n">
        <v>-0.0412</v>
      </c>
      <c r="AO40" s="20" t="n">
        <v>0.0353</v>
      </c>
      <c r="AP40" s="20" t="n">
        <v>-0.0506</v>
      </c>
      <c r="AQ40" s="20" t="n">
        <v>0.055</v>
      </c>
      <c r="AR40" s="18" t="n">
        <v>11</v>
      </c>
      <c r="AS40" s="18" t="n">
        <v>25</v>
      </c>
      <c r="AT40" s="18" t="n">
        <v>25</v>
      </c>
      <c r="AU40" s="18" t="n">
        <v>0</v>
      </c>
      <c r="AV40" s="18" t="n">
        <v>85</v>
      </c>
      <c r="AW40" s="18" t="n">
        <v>15.4</v>
      </c>
      <c r="AX40" s="18" t="n">
        <v>102</v>
      </c>
      <c r="AY40" s="18" t="s">
        <v>201</v>
      </c>
    </row>
    <row r="41" customFormat="false" ht="15" hidden="false" customHeight="false" outlineLevel="0" collapsed="false">
      <c r="A41" s="18" t="n">
        <v>40</v>
      </c>
      <c r="B41" s="18" t="s">
        <v>202</v>
      </c>
      <c r="C41" s="18" t="s">
        <v>151</v>
      </c>
      <c r="D41" s="18"/>
      <c r="E41" s="18" t="n">
        <v>0.7</v>
      </c>
      <c r="F41" s="18" t="n">
        <v>-1.25</v>
      </c>
      <c r="G41" s="18" t="n">
        <v>-0.93</v>
      </c>
      <c r="H41" s="18" t="n">
        <v>0</v>
      </c>
      <c r="I41" s="18" t="n">
        <v>0.7</v>
      </c>
      <c r="J41" s="18" t="n">
        <v>0.6</v>
      </c>
      <c r="K41" s="18" t="n">
        <v>3</v>
      </c>
      <c r="L41" s="18" t="n">
        <v>24</v>
      </c>
      <c r="M41" s="18" t="n">
        <v>20260908</v>
      </c>
      <c r="N41" s="18" t="n">
        <v>1</v>
      </c>
      <c r="O41" s="19" t="n">
        <v>0.9445</v>
      </c>
      <c r="P41" s="18" t="s">
        <v>116</v>
      </c>
      <c r="Q41" s="19" t="n">
        <v>0.968</v>
      </c>
      <c r="R41" s="19" t="n">
        <v>0.921</v>
      </c>
      <c r="S41" s="19" t="n">
        <v>0.944</v>
      </c>
      <c r="T41" s="19" t="n">
        <v>0.986</v>
      </c>
      <c r="U41" s="18" t="n">
        <v>7.3</v>
      </c>
      <c r="V41" s="19" t="n">
        <v>0.966</v>
      </c>
      <c r="W41" s="19" t="n">
        <v>0.852</v>
      </c>
      <c r="X41" s="19" t="n">
        <v>0.909</v>
      </c>
      <c r="Y41" s="19" t="n">
        <v>0.976</v>
      </c>
      <c r="Z41" s="18" t="n">
        <v>9.6</v>
      </c>
      <c r="AA41" s="18" t="n">
        <v>46</v>
      </c>
      <c r="AB41" s="18" t="n">
        <v>0.96</v>
      </c>
      <c r="AC41" s="18" t="n">
        <v>3.97</v>
      </c>
      <c r="AD41" s="18" t="n">
        <v>29</v>
      </c>
      <c r="AE41" s="18" t="n">
        <v>8.9</v>
      </c>
      <c r="AF41" s="18" t="n">
        <v>0.037</v>
      </c>
      <c r="AG41" s="18" t="n">
        <v>0.58</v>
      </c>
      <c r="AH41" s="18" t="n">
        <v>6.8</v>
      </c>
      <c r="AI41" s="18" t="n">
        <v>115</v>
      </c>
      <c r="AJ41" s="18" t="n">
        <v>2106</v>
      </c>
      <c r="AK41" s="18" t="n">
        <v>180</v>
      </c>
      <c r="AL41" s="18" t="n">
        <v>2</v>
      </c>
      <c r="AM41" s="18" t="n">
        <v>6</v>
      </c>
      <c r="AN41" s="20" t="n">
        <v>-0.0424</v>
      </c>
      <c r="AO41" s="20" t="n">
        <v>0.0553</v>
      </c>
      <c r="AP41" s="20" t="n">
        <v>-0.0359</v>
      </c>
      <c r="AQ41" s="20" t="n">
        <v>0.0458</v>
      </c>
      <c r="AR41" s="18" t="n">
        <v>15</v>
      </c>
      <c r="AS41" s="18" t="n">
        <v>9</v>
      </c>
      <c r="AT41" s="18" t="n">
        <v>18</v>
      </c>
      <c r="AU41" s="18" t="n">
        <v>0</v>
      </c>
      <c r="AV41" s="18" t="n">
        <v>136</v>
      </c>
      <c r="AW41" s="18" t="n">
        <v>15.9</v>
      </c>
      <c r="AX41" s="18" t="n">
        <v>336.7</v>
      </c>
      <c r="AY41" s="18" t="s">
        <v>203</v>
      </c>
    </row>
    <row r="42" customFormat="false" ht="15" hidden="false" customHeight="false" outlineLevel="0" collapsed="false">
      <c r="A42" s="18" t="n">
        <v>41</v>
      </c>
      <c r="B42" s="18" t="s">
        <v>204</v>
      </c>
      <c r="C42" s="18" t="s">
        <v>146</v>
      </c>
      <c r="D42" s="18"/>
      <c r="E42" s="18" t="n">
        <v>0.6</v>
      </c>
      <c r="F42" s="18" t="n">
        <v>-1.25</v>
      </c>
      <c r="G42" s="18" t="n">
        <v>-0.93</v>
      </c>
      <c r="H42" s="18" t="n">
        <v>0</v>
      </c>
      <c r="I42" s="18" t="n">
        <v>0.7</v>
      </c>
      <c r="J42" s="18" t="n">
        <v>0.6</v>
      </c>
      <c r="K42" s="18" t="n">
        <v>3</v>
      </c>
      <c r="L42" s="18" t="n">
        <v>24</v>
      </c>
      <c r="M42" s="18" t="n">
        <v>20260905</v>
      </c>
      <c r="N42" s="18" t="n">
        <v>0</v>
      </c>
      <c r="O42" s="19" t="n">
        <v>0.9521</v>
      </c>
      <c r="P42" s="18" t="s">
        <v>116</v>
      </c>
      <c r="Q42" s="19" t="n">
        <v>0.967</v>
      </c>
      <c r="R42" s="19" t="n">
        <v>0.938</v>
      </c>
      <c r="S42" s="19" t="n">
        <v>0.952</v>
      </c>
      <c r="T42" s="19" t="n">
        <v>0.988</v>
      </c>
      <c r="U42" s="18" t="n">
        <v>6.7</v>
      </c>
      <c r="V42" s="19" t="n">
        <v>0.897</v>
      </c>
      <c r="W42" s="19" t="n">
        <v>0.888</v>
      </c>
      <c r="X42" s="19" t="n">
        <v>0.893</v>
      </c>
      <c r="Y42" s="19" t="n">
        <v>0.973</v>
      </c>
      <c r="Z42" s="18" t="n">
        <v>10</v>
      </c>
      <c r="AA42" s="18" t="n">
        <v>48</v>
      </c>
      <c r="AB42" s="18" t="n">
        <v>1</v>
      </c>
      <c r="AC42" s="18" t="n">
        <v>4.28</v>
      </c>
      <c r="AD42" s="18" t="n">
        <v>28.9</v>
      </c>
      <c r="AE42" s="18" t="n">
        <v>9.7</v>
      </c>
      <c r="AF42" s="18" t="n">
        <v>0.016</v>
      </c>
      <c r="AG42" s="18" t="n">
        <v>0.62</v>
      </c>
      <c r="AH42" s="18" t="n">
        <v>7.6</v>
      </c>
      <c r="AI42" s="18" t="n">
        <v>95</v>
      </c>
      <c r="AJ42" s="18" t="n">
        <v>2144</v>
      </c>
      <c r="AK42" s="18" t="n">
        <v>181</v>
      </c>
      <c r="AL42" s="18" t="n">
        <v>6</v>
      </c>
      <c r="AM42" s="18" t="n">
        <v>7</v>
      </c>
      <c r="AN42" s="20" t="n">
        <v>-0.0431</v>
      </c>
      <c r="AO42" s="20" t="n">
        <v>0.0415</v>
      </c>
      <c r="AP42" s="20" t="n">
        <v>-0.0536</v>
      </c>
      <c r="AQ42" s="20" t="n">
        <v>0.0494</v>
      </c>
      <c r="AR42" s="18" t="n">
        <v>15</v>
      </c>
      <c r="AS42" s="18" t="n">
        <v>13</v>
      </c>
      <c r="AT42" s="18" t="n">
        <v>6</v>
      </c>
      <c r="AU42" s="18" t="n">
        <v>0</v>
      </c>
      <c r="AV42" s="18" t="n">
        <v>133</v>
      </c>
      <c r="AW42" s="18" t="n">
        <v>16.1</v>
      </c>
      <c r="AX42" s="18" t="n">
        <v>210.7</v>
      </c>
      <c r="AY42" s="18" t="s">
        <v>205</v>
      </c>
    </row>
    <row r="43" customFormat="false" ht="15" hidden="false" customHeight="false" outlineLevel="0" collapsed="false">
      <c r="A43" s="18" t="n">
        <v>42</v>
      </c>
      <c r="B43" s="18" t="s">
        <v>206</v>
      </c>
      <c r="C43" s="18" t="s">
        <v>146</v>
      </c>
      <c r="D43" s="18"/>
      <c r="E43" s="18" t="n">
        <v>0.7</v>
      </c>
      <c r="F43" s="18" t="n">
        <v>-1.25</v>
      </c>
      <c r="G43" s="18" t="n">
        <v>-1.03</v>
      </c>
      <c r="H43" s="18" t="n">
        <v>-0.1</v>
      </c>
      <c r="I43" s="18" t="n">
        <v>0.7</v>
      </c>
      <c r="J43" s="18" t="n">
        <v>0.6</v>
      </c>
      <c r="K43" s="18" t="n">
        <v>3</v>
      </c>
      <c r="L43" s="18" t="n">
        <v>24</v>
      </c>
      <c r="M43" s="18" t="n">
        <v>20260905</v>
      </c>
      <c r="N43" s="18" t="n">
        <v>0</v>
      </c>
      <c r="O43" s="19" t="n">
        <v>0.9618</v>
      </c>
      <c r="P43" s="18" t="s">
        <v>116</v>
      </c>
      <c r="Q43" s="19" t="n">
        <v>0.966</v>
      </c>
      <c r="R43" s="19" t="n">
        <v>0.958</v>
      </c>
      <c r="S43" s="19" t="n">
        <v>0.962</v>
      </c>
      <c r="T43" s="19" t="n">
        <v>0.987</v>
      </c>
      <c r="U43" s="18" t="n">
        <v>7.4</v>
      </c>
      <c r="V43" s="19" t="n">
        <v>0.933</v>
      </c>
      <c r="W43" s="19" t="n">
        <v>0.948</v>
      </c>
      <c r="X43" s="19" t="n">
        <v>0.941</v>
      </c>
      <c r="Y43" s="19" t="n">
        <v>0.98</v>
      </c>
      <c r="Z43" s="18" t="n">
        <v>9.3</v>
      </c>
      <c r="AA43" s="18" t="n">
        <v>46</v>
      </c>
      <c r="AB43" s="18" t="n">
        <v>0.96</v>
      </c>
      <c r="AC43" s="18" t="n">
        <v>5.35</v>
      </c>
      <c r="AD43" s="18" t="n">
        <v>39.7</v>
      </c>
      <c r="AE43" s="18" t="n">
        <v>8.1</v>
      </c>
      <c r="AF43" s="18" t="n">
        <v>0</v>
      </c>
      <c r="AG43" s="18" t="n">
        <v>0.67</v>
      </c>
      <c r="AH43" s="18" t="n">
        <v>9</v>
      </c>
      <c r="AI43" s="18" t="n">
        <v>112</v>
      </c>
      <c r="AJ43" s="18" t="n">
        <v>2199</v>
      </c>
      <c r="AK43" s="18" t="n">
        <v>182</v>
      </c>
      <c r="AL43" s="18" t="n">
        <v>4</v>
      </c>
      <c r="AM43" s="18" t="n">
        <v>10</v>
      </c>
      <c r="AN43" s="20" t="n">
        <v>-0.0374</v>
      </c>
      <c r="AO43" s="20" t="n">
        <v>0.0443</v>
      </c>
      <c r="AP43" s="20" t="n">
        <v>-0.0319</v>
      </c>
      <c r="AQ43" s="20" t="n">
        <v>0.023</v>
      </c>
      <c r="AR43" s="18" t="n">
        <v>10</v>
      </c>
      <c r="AS43" s="18" t="n">
        <v>11</v>
      </c>
      <c r="AT43" s="18" t="n">
        <v>10</v>
      </c>
      <c r="AU43" s="18" t="n">
        <v>0</v>
      </c>
      <c r="AV43" s="18" t="n">
        <v>116</v>
      </c>
      <c r="AW43" s="18" t="n">
        <v>15.8</v>
      </c>
      <c r="AX43" s="18" t="n">
        <v>315.8</v>
      </c>
      <c r="AY43" s="18" t="s">
        <v>207</v>
      </c>
    </row>
    <row r="44" customFormat="false" ht="15" hidden="false" customHeight="false" outlineLevel="0" collapsed="false">
      <c r="A44" s="18" t="n">
        <v>43</v>
      </c>
      <c r="B44" s="18" t="s">
        <v>208</v>
      </c>
      <c r="C44" s="18" t="s">
        <v>146</v>
      </c>
      <c r="D44" s="18"/>
      <c r="E44" s="18" t="n">
        <v>0.7</v>
      </c>
      <c r="F44" s="18" t="n">
        <v>-1.25</v>
      </c>
      <c r="G44" s="18" t="n">
        <v>-0.93</v>
      </c>
      <c r="H44" s="18" t="n">
        <v>0</v>
      </c>
      <c r="I44" s="18" t="n">
        <v>0.6</v>
      </c>
      <c r="J44" s="18" t="n">
        <v>0.6</v>
      </c>
      <c r="K44" s="18" t="n">
        <v>3</v>
      </c>
      <c r="L44" s="18" t="n">
        <v>24</v>
      </c>
      <c r="M44" s="18" t="n">
        <v>20260905</v>
      </c>
      <c r="N44" s="18" t="n">
        <v>0</v>
      </c>
      <c r="O44" s="19" t="n">
        <v>0.9726</v>
      </c>
      <c r="P44" s="18" t="s">
        <v>116</v>
      </c>
      <c r="Q44" s="19" t="n">
        <v>0.977</v>
      </c>
      <c r="R44" s="19" t="n">
        <v>0.968</v>
      </c>
      <c r="S44" s="19" t="n">
        <v>0.973</v>
      </c>
      <c r="T44" s="19" t="n">
        <v>0.989</v>
      </c>
      <c r="U44" s="18" t="n">
        <v>6.9</v>
      </c>
      <c r="V44" s="19" t="n">
        <v>0.937</v>
      </c>
      <c r="W44" s="19" t="n">
        <v>0.955</v>
      </c>
      <c r="X44" s="19" t="n">
        <v>0.946</v>
      </c>
      <c r="Y44" s="19" t="n">
        <v>0.984</v>
      </c>
      <c r="Z44" s="18" t="n">
        <v>8.1</v>
      </c>
      <c r="AA44" s="18" t="n">
        <v>44</v>
      </c>
      <c r="AB44" s="18" t="n">
        <v>0.92</v>
      </c>
      <c r="AC44" s="18" t="n">
        <v>5.82</v>
      </c>
      <c r="AD44" s="18" t="n">
        <v>40.4</v>
      </c>
      <c r="AE44" s="18" t="n">
        <v>6.6</v>
      </c>
      <c r="AF44" s="18" t="n">
        <v>0.027</v>
      </c>
      <c r="AG44" s="18" t="n">
        <v>0.5</v>
      </c>
      <c r="AH44" s="18" t="n">
        <v>4.9</v>
      </c>
      <c r="AI44" s="18" t="n">
        <v>83</v>
      </c>
      <c r="AJ44" s="18" t="n">
        <v>2149</v>
      </c>
      <c r="AK44" s="18" t="n">
        <v>185</v>
      </c>
      <c r="AL44" s="18" t="n">
        <v>8</v>
      </c>
      <c r="AM44" s="18" t="n">
        <v>6</v>
      </c>
      <c r="AN44" s="20" t="n">
        <v>-0.055</v>
      </c>
      <c r="AO44" s="20" t="n">
        <v>0.0367</v>
      </c>
      <c r="AP44" s="20" t="n">
        <v>-0.0389</v>
      </c>
      <c r="AQ44" s="20" t="n">
        <v>0.0227</v>
      </c>
      <c r="AR44" s="18" t="n">
        <v>11</v>
      </c>
      <c r="AS44" s="18" t="n">
        <v>21</v>
      </c>
      <c r="AT44" s="18" t="n">
        <v>9</v>
      </c>
      <c r="AU44" s="18" t="n">
        <v>0</v>
      </c>
      <c r="AV44" s="18" t="n">
        <v>69</v>
      </c>
      <c r="AW44" s="18" t="n">
        <v>15.9</v>
      </c>
      <c r="AX44" s="18" t="n">
        <v>85.7</v>
      </c>
      <c r="AY44" s="18" t="s">
        <v>209</v>
      </c>
    </row>
    <row r="45" customFormat="false" ht="15" hidden="false" customHeight="false" outlineLevel="0" collapsed="false">
      <c r="A45" s="18" t="n">
        <v>44</v>
      </c>
      <c r="B45" s="18" t="s">
        <v>210</v>
      </c>
      <c r="C45" s="18" t="s">
        <v>151</v>
      </c>
      <c r="D45" s="18"/>
      <c r="E45" s="18" t="n">
        <v>0.7</v>
      </c>
      <c r="F45" s="18" t="n">
        <v>-1.25</v>
      </c>
      <c r="G45" s="18" t="n">
        <v>-0.93</v>
      </c>
      <c r="H45" s="18" t="n">
        <v>0</v>
      </c>
      <c r="I45" s="18" t="n">
        <v>0.7</v>
      </c>
      <c r="J45" s="18" t="n">
        <v>0.6</v>
      </c>
      <c r="K45" s="18" t="n">
        <v>3</v>
      </c>
      <c r="L45" s="18" t="n">
        <v>24</v>
      </c>
      <c r="M45" s="18" t="n">
        <v>20260909</v>
      </c>
      <c r="N45" s="18" t="n">
        <v>1</v>
      </c>
      <c r="O45" s="19" t="n">
        <v>0.971</v>
      </c>
      <c r="P45" s="18" t="s">
        <v>116</v>
      </c>
      <c r="Q45" s="19" t="n">
        <v>0.97</v>
      </c>
      <c r="R45" s="19" t="n">
        <v>0.972</v>
      </c>
      <c r="S45" s="19" t="n">
        <v>0.971</v>
      </c>
      <c r="T45" s="19" t="n">
        <v>0.989</v>
      </c>
      <c r="U45" s="18" t="n">
        <v>7.2</v>
      </c>
      <c r="V45" s="19" t="n">
        <v>0.917</v>
      </c>
      <c r="W45" s="19" t="n">
        <v>0.928</v>
      </c>
      <c r="X45" s="19" t="n">
        <v>0.923</v>
      </c>
      <c r="Y45" s="19" t="n">
        <v>0.971</v>
      </c>
      <c r="Z45" s="18" t="n">
        <v>11.7</v>
      </c>
      <c r="AA45" s="18" t="n">
        <v>48</v>
      </c>
      <c r="AB45" s="18" t="n">
        <v>1</v>
      </c>
      <c r="AC45" s="18" t="n">
        <v>5.8</v>
      </c>
      <c r="AD45" s="18" t="n">
        <v>41.6</v>
      </c>
      <c r="AE45" s="18" t="n">
        <v>10.1</v>
      </c>
      <c r="AF45" s="18" t="n">
        <v>0.018</v>
      </c>
      <c r="AG45" s="18" t="n">
        <v>0.67</v>
      </c>
      <c r="AH45" s="18" t="n">
        <v>8.1</v>
      </c>
      <c r="AI45" s="18" t="n">
        <v>103</v>
      </c>
      <c r="AJ45" s="18" t="n">
        <v>2092</v>
      </c>
      <c r="AK45" s="18" t="n">
        <v>186</v>
      </c>
      <c r="AL45" s="18" t="n">
        <v>5</v>
      </c>
      <c r="AM45" s="18" t="n">
        <v>9</v>
      </c>
      <c r="AN45" s="20" t="n">
        <v>-0.0385</v>
      </c>
      <c r="AO45" s="20" t="n">
        <v>0.0502</v>
      </c>
      <c r="AP45" s="20" t="n">
        <v>-0.074</v>
      </c>
      <c r="AQ45" s="20" t="n">
        <v>0.0385</v>
      </c>
      <c r="AR45" s="18" t="n">
        <v>17</v>
      </c>
      <c r="AS45" s="18" t="n">
        <v>11</v>
      </c>
      <c r="AT45" s="18" t="n">
        <v>7</v>
      </c>
      <c r="AU45" s="18" t="n">
        <v>0</v>
      </c>
      <c r="AV45" s="18" t="n">
        <v>112</v>
      </c>
      <c r="AW45" s="18" t="n">
        <v>16</v>
      </c>
      <c r="AX45" s="18" t="n">
        <v>129</v>
      </c>
      <c r="AY45" s="18" t="s">
        <v>211</v>
      </c>
    </row>
    <row r="46" customFormat="false" ht="15" hidden="false" customHeight="false" outlineLevel="0" collapsed="false">
      <c r="A46" s="18" t="n">
        <v>45</v>
      </c>
      <c r="B46" s="18" t="s">
        <v>212</v>
      </c>
      <c r="C46" s="18" t="s">
        <v>146</v>
      </c>
      <c r="D46" s="18"/>
      <c r="E46" s="18" t="n">
        <v>0.75</v>
      </c>
      <c r="F46" s="18" t="n">
        <v>-1.25</v>
      </c>
      <c r="G46" s="18" t="n">
        <v>-0.93</v>
      </c>
      <c r="H46" s="18" t="n">
        <v>0</v>
      </c>
      <c r="I46" s="18" t="n">
        <v>0.7</v>
      </c>
      <c r="J46" s="18" t="n">
        <v>0.6</v>
      </c>
      <c r="K46" s="18" t="n">
        <v>3</v>
      </c>
      <c r="L46" s="18" t="n">
        <v>24</v>
      </c>
      <c r="M46" s="18" t="n">
        <v>20260905</v>
      </c>
      <c r="N46" s="18" t="n">
        <v>0</v>
      </c>
      <c r="O46" s="19" t="n">
        <v>0.9661</v>
      </c>
      <c r="P46" s="18" t="s">
        <v>116</v>
      </c>
      <c r="Q46" s="19" t="n">
        <v>0.956</v>
      </c>
      <c r="R46" s="19" t="n">
        <v>0.976</v>
      </c>
      <c r="S46" s="19" t="n">
        <v>0.966</v>
      </c>
      <c r="T46" s="19" t="n">
        <v>0.986</v>
      </c>
      <c r="U46" s="18" t="n">
        <v>8.2</v>
      </c>
      <c r="V46" s="19" t="n">
        <v>0.923</v>
      </c>
      <c r="W46" s="19" t="n">
        <v>0.925</v>
      </c>
      <c r="X46" s="19" t="n">
        <v>0.924</v>
      </c>
      <c r="Y46" s="19" t="n">
        <v>0.975</v>
      </c>
      <c r="Z46" s="18" t="n">
        <v>10.4</v>
      </c>
      <c r="AA46" s="18" t="n">
        <v>44</v>
      </c>
      <c r="AB46" s="18" t="n">
        <v>0.92</v>
      </c>
      <c r="AC46" s="18" t="n">
        <v>5.81</v>
      </c>
      <c r="AD46" s="18" t="n">
        <v>47.7</v>
      </c>
      <c r="AE46" s="18" t="n">
        <v>9.2</v>
      </c>
      <c r="AF46" s="18" t="n">
        <v>-0.006</v>
      </c>
      <c r="AG46" s="18" t="n">
        <v>0.62</v>
      </c>
      <c r="AH46" s="18" t="n">
        <v>7.9</v>
      </c>
      <c r="AI46" s="18" t="n">
        <v>113</v>
      </c>
      <c r="AJ46" s="18" t="n">
        <v>2132</v>
      </c>
      <c r="AK46" s="18" t="n">
        <v>193</v>
      </c>
      <c r="AL46" s="18" t="n">
        <v>5</v>
      </c>
      <c r="AM46" s="18" t="n">
        <v>5</v>
      </c>
      <c r="AN46" s="20" t="n">
        <v>-0.0679</v>
      </c>
      <c r="AO46" s="20" t="n">
        <v>0.0313</v>
      </c>
      <c r="AP46" s="20" t="n">
        <v>-0.0586</v>
      </c>
      <c r="AQ46" s="20" t="n">
        <v>0.0265</v>
      </c>
      <c r="AR46" s="18" t="n">
        <v>11</v>
      </c>
      <c r="AS46" s="18" t="n">
        <v>24</v>
      </c>
      <c r="AT46" s="18" t="n">
        <v>16</v>
      </c>
      <c r="AU46" s="18" t="n">
        <v>0</v>
      </c>
      <c r="AV46" s="18" t="n">
        <v>117</v>
      </c>
      <c r="AW46" s="18" t="n">
        <v>15.9</v>
      </c>
      <c r="AX46" s="18" t="n">
        <v>134.3</v>
      </c>
      <c r="AY46" s="18" t="s">
        <v>213</v>
      </c>
    </row>
    <row r="47" customFormat="false" ht="15" hidden="false" customHeight="false" outlineLevel="0" collapsed="false">
      <c r="A47" s="18" t="n">
        <v>46</v>
      </c>
      <c r="B47" s="18" t="s">
        <v>214</v>
      </c>
      <c r="C47" s="18" t="s">
        <v>146</v>
      </c>
      <c r="D47" s="18"/>
      <c r="E47" s="18" t="n">
        <v>0.7</v>
      </c>
      <c r="F47" s="18" t="n">
        <v>-1.25</v>
      </c>
      <c r="G47" s="18" t="n">
        <v>-0.83</v>
      </c>
      <c r="H47" s="18" t="n">
        <v>0.1</v>
      </c>
      <c r="I47" s="18" t="n">
        <v>0.7</v>
      </c>
      <c r="J47" s="18" t="n">
        <v>0.6</v>
      </c>
      <c r="K47" s="18" t="n">
        <v>3</v>
      </c>
      <c r="L47" s="18" t="n">
        <v>24</v>
      </c>
      <c r="M47" s="18" t="n">
        <v>20260905</v>
      </c>
      <c r="N47" s="18" t="n">
        <v>0</v>
      </c>
      <c r="O47" s="19" t="n">
        <v>0.9649</v>
      </c>
      <c r="P47" s="18" t="s">
        <v>116</v>
      </c>
      <c r="Q47" s="19" t="n">
        <v>0.976</v>
      </c>
      <c r="R47" s="19" t="n">
        <v>0.954</v>
      </c>
      <c r="S47" s="19" t="n">
        <v>0.965</v>
      </c>
      <c r="T47" s="19" t="n">
        <v>0.987</v>
      </c>
      <c r="U47" s="18" t="n">
        <v>7.8</v>
      </c>
      <c r="V47" s="19" t="n">
        <v>0.97</v>
      </c>
      <c r="W47" s="19" t="n">
        <v>0.887</v>
      </c>
      <c r="X47" s="19" t="n">
        <v>0.929</v>
      </c>
      <c r="Y47" s="19" t="n">
        <v>0.975</v>
      </c>
      <c r="Z47" s="18" t="n">
        <v>10.7</v>
      </c>
      <c r="AA47" s="18" t="n">
        <v>44</v>
      </c>
      <c r="AB47" s="18" t="n">
        <v>0.92</v>
      </c>
      <c r="AC47" s="18" t="n">
        <v>5.46</v>
      </c>
      <c r="AD47" s="18" t="n">
        <v>42.4</v>
      </c>
      <c r="AE47" s="18" t="n">
        <v>8.6</v>
      </c>
      <c r="AF47" s="18" t="n">
        <v>0.037</v>
      </c>
      <c r="AG47" s="18" t="n">
        <v>0.5</v>
      </c>
      <c r="AH47" s="18" t="n">
        <v>6.2</v>
      </c>
      <c r="AI47" s="18" t="n">
        <v>117</v>
      </c>
      <c r="AJ47" s="18" t="n">
        <v>2033</v>
      </c>
      <c r="AK47" s="18" t="n">
        <v>192</v>
      </c>
      <c r="AL47" s="18" t="n">
        <v>7</v>
      </c>
      <c r="AM47" s="18" t="n">
        <v>19</v>
      </c>
      <c r="AN47" s="20" t="n">
        <v>-0.0564</v>
      </c>
      <c r="AO47" s="20" t="n">
        <v>0.0718</v>
      </c>
      <c r="AP47" s="20" t="n">
        <v>-0.0512</v>
      </c>
      <c r="AQ47" s="20" t="n">
        <v>0.0351</v>
      </c>
      <c r="AR47" s="18" t="n">
        <v>11</v>
      </c>
      <c r="AS47" s="18" t="n">
        <v>14</v>
      </c>
      <c r="AT47" s="18" t="n">
        <v>11</v>
      </c>
      <c r="AU47" s="18" t="n">
        <v>0</v>
      </c>
      <c r="AV47" s="18" t="n">
        <v>92</v>
      </c>
      <c r="AW47" s="18" t="n">
        <v>15.5</v>
      </c>
      <c r="AX47" s="18" t="n">
        <v>108.2</v>
      </c>
      <c r="AY47" s="18" t="s">
        <v>215</v>
      </c>
    </row>
    <row r="48" customFormat="false" ht="15" hidden="false" customHeight="false" outlineLevel="0" collapsed="false">
      <c r="A48" s="18" t="n">
        <v>47</v>
      </c>
      <c r="B48" s="18" t="s">
        <v>216</v>
      </c>
      <c r="C48" s="18" t="s">
        <v>146</v>
      </c>
      <c r="D48" s="18"/>
      <c r="E48" s="18" t="n">
        <v>0.6</v>
      </c>
      <c r="F48" s="18" t="n">
        <v>-1.25</v>
      </c>
      <c r="G48" s="18" t="n">
        <v>-0.93</v>
      </c>
      <c r="H48" s="18" t="n">
        <v>0</v>
      </c>
      <c r="I48" s="18" t="n">
        <v>0.7</v>
      </c>
      <c r="J48" s="18" t="n">
        <v>0.6</v>
      </c>
      <c r="K48" s="18" t="n">
        <v>3</v>
      </c>
      <c r="L48" s="18" t="n">
        <v>24</v>
      </c>
      <c r="M48" s="18" t="n">
        <v>20260906</v>
      </c>
      <c r="N48" s="18" t="n">
        <v>0</v>
      </c>
      <c r="O48" s="19" t="n">
        <v>0.9437</v>
      </c>
      <c r="P48" s="18" t="s">
        <v>116</v>
      </c>
      <c r="Q48" s="19" t="n">
        <v>0.957</v>
      </c>
      <c r="R48" s="19" t="n">
        <v>0.93</v>
      </c>
      <c r="S48" s="19" t="n">
        <v>0.944</v>
      </c>
      <c r="T48" s="19" t="n">
        <v>0.989</v>
      </c>
      <c r="U48" s="18" t="n">
        <v>6.2</v>
      </c>
      <c r="V48" s="19" t="n">
        <v>0.816</v>
      </c>
      <c r="W48" s="19" t="n">
        <v>0.935</v>
      </c>
      <c r="X48" s="19" t="n">
        <v>0.876</v>
      </c>
      <c r="Y48" s="19" t="n">
        <v>0.977</v>
      </c>
      <c r="Z48" s="18" t="n">
        <v>9.1</v>
      </c>
      <c r="AA48" s="18" t="n">
        <v>48</v>
      </c>
      <c r="AB48" s="18" t="n">
        <v>1</v>
      </c>
      <c r="AC48" s="18" t="n">
        <v>4.19</v>
      </c>
      <c r="AD48" s="18" t="n">
        <v>25.9</v>
      </c>
      <c r="AE48" s="18" t="n">
        <v>7.7</v>
      </c>
      <c r="AF48" s="18" t="n">
        <v>0.001</v>
      </c>
      <c r="AG48" s="18" t="n">
        <v>0.62</v>
      </c>
      <c r="AH48" s="18" t="n">
        <v>7.4</v>
      </c>
      <c r="AI48" s="18" t="n">
        <v>111</v>
      </c>
      <c r="AJ48" s="18" t="n">
        <v>2111</v>
      </c>
      <c r="AK48" s="18" t="n">
        <v>190</v>
      </c>
      <c r="AL48" s="18" t="n">
        <v>5</v>
      </c>
      <c r="AM48" s="18" t="n">
        <v>5</v>
      </c>
      <c r="AN48" s="20" t="n">
        <v>-0.0373</v>
      </c>
      <c r="AO48" s="20" t="n">
        <v>0.05</v>
      </c>
      <c r="AP48" s="20" t="n">
        <v>-0.0453</v>
      </c>
      <c r="AQ48" s="20" t="n">
        <v>0.0637</v>
      </c>
      <c r="AR48" s="18" t="n">
        <v>12</v>
      </c>
      <c r="AS48" s="18" t="n">
        <v>9</v>
      </c>
      <c r="AT48" s="18" t="n">
        <v>14</v>
      </c>
      <c r="AU48" s="18" t="n">
        <v>0</v>
      </c>
      <c r="AV48" s="18" t="n">
        <v>94</v>
      </c>
      <c r="AW48" s="18" t="n">
        <v>16.2</v>
      </c>
      <c r="AX48" s="18" t="n">
        <v>111.5</v>
      </c>
      <c r="AY48" s="18" t="s">
        <v>217</v>
      </c>
    </row>
    <row r="49" customFormat="false" ht="15" hidden="false" customHeight="false" outlineLevel="0" collapsed="false">
      <c r="A49" s="18" t="n">
        <v>48</v>
      </c>
      <c r="B49" s="18" t="s">
        <v>218</v>
      </c>
      <c r="C49" s="18" t="s">
        <v>151</v>
      </c>
      <c r="D49" s="18"/>
      <c r="E49" s="18" t="n">
        <v>0.7</v>
      </c>
      <c r="F49" s="18" t="n">
        <v>-1.25</v>
      </c>
      <c r="G49" s="18" t="n">
        <v>-0.93</v>
      </c>
      <c r="H49" s="18" t="n">
        <v>0</v>
      </c>
      <c r="I49" s="18" t="n">
        <v>0.7</v>
      </c>
      <c r="J49" s="18" t="n">
        <v>0.6</v>
      </c>
      <c r="K49" s="18" t="n">
        <v>3</v>
      </c>
      <c r="L49" s="18" t="n">
        <v>24</v>
      </c>
      <c r="M49" s="18" t="n">
        <v>20260910</v>
      </c>
      <c r="N49" s="18" t="n">
        <v>1</v>
      </c>
      <c r="O49" s="19" t="n">
        <v>0.974</v>
      </c>
      <c r="P49" s="18" t="s">
        <v>116</v>
      </c>
      <c r="Q49" s="19" t="n">
        <v>0.982</v>
      </c>
      <c r="R49" s="19" t="n">
        <v>0.967</v>
      </c>
      <c r="S49" s="19" t="n">
        <v>0.974</v>
      </c>
      <c r="T49" s="19" t="n">
        <v>0.99</v>
      </c>
      <c r="U49" s="18" t="n">
        <v>6.6</v>
      </c>
      <c r="V49" s="19" t="n">
        <v>0.914</v>
      </c>
      <c r="W49" s="19" t="n">
        <v>0.94</v>
      </c>
      <c r="X49" s="19" t="n">
        <v>0.927</v>
      </c>
      <c r="Y49" s="19" t="n">
        <v>0.973</v>
      </c>
      <c r="Z49" s="18" t="n">
        <v>11</v>
      </c>
      <c r="AA49" s="18" t="n">
        <v>46</v>
      </c>
      <c r="AB49" s="18" t="n">
        <v>0.96</v>
      </c>
      <c r="AC49" s="18" t="n">
        <v>6.23</v>
      </c>
      <c r="AD49" s="18" t="n">
        <v>41.4</v>
      </c>
      <c r="AE49" s="18" t="n">
        <v>8.5</v>
      </c>
      <c r="AF49" s="18" t="n">
        <v>0.008</v>
      </c>
      <c r="AG49" s="18" t="n">
        <v>0.46</v>
      </c>
      <c r="AH49" s="18" t="n">
        <v>7.7</v>
      </c>
      <c r="AI49" s="18" t="n">
        <v>128</v>
      </c>
      <c r="AJ49" s="18" t="n">
        <v>2116</v>
      </c>
      <c r="AK49" s="18" t="n">
        <v>189</v>
      </c>
      <c r="AL49" s="18" t="n">
        <v>3</v>
      </c>
      <c r="AM49" s="18" t="n">
        <v>9</v>
      </c>
      <c r="AN49" s="20" t="n">
        <v>-0.0443</v>
      </c>
      <c r="AO49" s="20" t="n">
        <v>0.0484</v>
      </c>
      <c r="AP49" s="20" t="n">
        <v>-0.0395</v>
      </c>
      <c r="AQ49" s="20" t="n">
        <v>0.0386</v>
      </c>
      <c r="AR49" s="18" t="n">
        <v>12</v>
      </c>
      <c r="AS49" s="18" t="n">
        <v>9</v>
      </c>
      <c r="AT49" s="18" t="n">
        <v>13</v>
      </c>
      <c r="AU49" s="18" t="n">
        <v>0</v>
      </c>
      <c r="AV49" s="18" t="n">
        <v>97</v>
      </c>
      <c r="AW49" s="18" t="n">
        <v>15.4</v>
      </c>
      <c r="AX49" s="18" t="n">
        <v>174.7</v>
      </c>
      <c r="AY49" s="18" t="s">
        <v>219</v>
      </c>
    </row>
    <row r="50" customFormat="false" ht="15" hidden="false" customHeight="false" outlineLevel="0" collapsed="false">
      <c r="A50" s="18" t="n">
        <v>49</v>
      </c>
      <c r="B50" s="18" t="s">
        <v>220</v>
      </c>
      <c r="C50" s="18" t="s">
        <v>146</v>
      </c>
      <c r="D50" s="18"/>
      <c r="E50" s="18" t="n">
        <v>0.7</v>
      </c>
      <c r="F50" s="18" t="n">
        <v>-1.25</v>
      </c>
      <c r="G50" s="18" t="n">
        <v>-0.93</v>
      </c>
      <c r="H50" s="18" t="n">
        <v>0</v>
      </c>
      <c r="I50" s="18" t="n">
        <v>0.8</v>
      </c>
      <c r="J50" s="18" t="n">
        <v>0.6</v>
      </c>
      <c r="K50" s="18" t="n">
        <v>3</v>
      </c>
      <c r="L50" s="18" t="n">
        <v>24</v>
      </c>
      <c r="M50" s="18" t="n">
        <v>20260906</v>
      </c>
      <c r="N50" s="18" t="n">
        <v>0</v>
      </c>
      <c r="O50" s="19" t="n">
        <v>0.9507</v>
      </c>
      <c r="P50" s="18" t="s">
        <v>116</v>
      </c>
      <c r="Q50" s="19" t="n">
        <v>0.957</v>
      </c>
      <c r="R50" s="19" t="n">
        <v>0.945</v>
      </c>
      <c r="S50" s="19" t="n">
        <v>0.951</v>
      </c>
      <c r="T50" s="19" t="n">
        <v>0.986</v>
      </c>
      <c r="U50" s="18" t="n">
        <v>7.5</v>
      </c>
      <c r="V50" s="19" t="n">
        <v>0.925</v>
      </c>
      <c r="W50" s="19" t="n">
        <v>0.916</v>
      </c>
      <c r="X50" s="19" t="n">
        <v>0.921</v>
      </c>
      <c r="Y50" s="19" t="n">
        <v>0.977</v>
      </c>
      <c r="Z50" s="18" t="n">
        <v>9.5</v>
      </c>
      <c r="AA50" s="18" t="n">
        <v>48</v>
      </c>
      <c r="AB50" s="18" t="n">
        <v>1</v>
      </c>
      <c r="AC50" s="18" t="n">
        <v>4.45</v>
      </c>
      <c r="AD50" s="18" t="n">
        <v>33.4</v>
      </c>
      <c r="AE50" s="18" t="n">
        <v>9.3</v>
      </c>
      <c r="AF50" s="18" t="n">
        <v>0.012</v>
      </c>
      <c r="AG50" s="18" t="n">
        <v>0.5</v>
      </c>
      <c r="AH50" s="18" t="n">
        <v>7.7</v>
      </c>
      <c r="AI50" s="18" t="n">
        <v>153</v>
      </c>
      <c r="AJ50" s="18" t="n">
        <v>2074</v>
      </c>
      <c r="AK50" s="18" t="n">
        <v>181</v>
      </c>
      <c r="AL50" s="18" t="n">
        <v>1</v>
      </c>
      <c r="AM50" s="18" t="n">
        <v>6</v>
      </c>
      <c r="AN50" s="20" t="n">
        <v>-0.0504</v>
      </c>
      <c r="AO50" s="20" t="n">
        <v>0.0561</v>
      </c>
      <c r="AP50" s="20" t="n">
        <v>-0.042</v>
      </c>
      <c r="AQ50" s="20" t="n">
        <v>0.0488</v>
      </c>
      <c r="AR50" s="18" t="n">
        <v>12</v>
      </c>
      <c r="AS50" s="18" t="n">
        <v>10</v>
      </c>
      <c r="AT50" s="18" t="n">
        <v>10</v>
      </c>
      <c r="AU50" s="18" t="n">
        <v>0</v>
      </c>
      <c r="AV50" s="18" t="n">
        <v>110</v>
      </c>
      <c r="AW50" s="18" t="n">
        <v>16.2</v>
      </c>
      <c r="AX50" s="18" t="n">
        <v>249.6</v>
      </c>
      <c r="AY50" s="18" t="s">
        <v>221</v>
      </c>
    </row>
    <row r="51" customFormat="false" ht="15" hidden="false" customHeight="false" outlineLevel="0" collapsed="false">
      <c r="A51" s="18" t="n">
        <v>50</v>
      </c>
      <c r="B51" s="18" t="s">
        <v>222</v>
      </c>
      <c r="C51" s="18" t="s">
        <v>146</v>
      </c>
      <c r="D51" s="18"/>
      <c r="E51" s="18" t="n">
        <v>0.7</v>
      </c>
      <c r="F51" s="18" t="n">
        <v>-1.5</v>
      </c>
      <c r="G51" s="18" t="n">
        <v>-0.93</v>
      </c>
      <c r="H51" s="18" t="n">
        <v>0</v>
      </c>
      <c r="I51" s="18" t="n">
        <v>0.7</v>
      </c>
      <c r="J51" s="18" t="n">
        <v>0.6</v>
      </c>
      <c r="K51" s="18" t="n">
        <v>3</v>
      </c>
      <c r="L51" s="18" t="n">
        <v>24</v>
      </c>
      <c r="M51" s="18" t="n">
        <v>20260906</v>
      </c>
      <c r="N51" s="18" t="n">
        <v>0</v>
      </c>
      <c r="O51" s="19" t="n">
        <v>0.9759</v>
      </c>
      <c r="P51" s="18" t="s">
        <v>116</v>
      </c>
      <c r="Q51" s="19" t="n">
        <v>0.974</v>
      </c>
      <c r="R51" s="19" t="n">
        <v>0.978</v>
      </c>
      <c r="S51" s="19" t="n">
        <v>0.976</v>
      </c>
      <c r="T51" s="19" t="n">
        <v>0.992</v>
      </c>
      <c r="U51" s="18" t="n">
        <v>6</v>
      </c>
      <c r="V51" s="19" t="n">
        <v>0.904</v>
      </c>
      <c r="W51" s="19" t="n">
        <v>0.898</v>
      </c>
      <c r="X51" s="19" t="n">
        <v>0.901</v>
      </c>
      <c r="Y51" s="19" t="n">
        <v>0.968</v>
      </c>
      <c r="Z51" s="18" t="n">
        <v>12.2</v>
      </c>
      <c r="AA51" s="18" t="n">
        <v>48</v>
      </c>
      <c r="AB51" s="18" t="n">
        <v>1</v>
      </c>
      <c r="AC51" s="18" t="n">
        <v>6.25</v>
      </c>
      <c r="AD51" s="18" t="n">
        <v>37.6</v>
      </c>
      <c r="AE51" s="18" t="n">
        <v>8.4</v>
      </c>
      <c r="AF51" s="18" t="n">
        <v>-0.012</v>
      </c>
      <c r="AG51" s="18" t="n">
        <v>0.71</v>
      </c>
      <c r="AH51" s="18" t="n">
        <v>6.4</v>
      </c>
      <c r="AI51" s="18" t="n">
        <v>129</v>
      </c>
      <c r="AJ51" s="18" t="n">
        <v>1742</v>
      </c>
      <c r="AK51" s="18" t="n">
        <v>205</v>
      </c>
      <c r="AL51" s="18" t="n">
        <v>1</v>
      </c>
      <c r="AM51" s="18" t="n">
        <v>10</v>
      </c>
      <c r="AN51" s="20" t="n">
        <v>-0.0674</v>
      </c>
      <c r="AO51" s="20" t="n">
        <v>0.0761</v>
      </c>
      <c r="AP51" s="20" t="n">
        <v>-0.0662</v>
      </c>
      <c r="AQ51" s="20" t="n">
        <v>0.0695</v>
      </c>
      <c r="AR51" s="18" t="n">
        <v>14</v>
      </c>
      <c r="AS51" s="18" t="n">
        <v>15</v>
      </c>
      <c r="AT51" s="18" t="n">
        <v>9</v>
      </c>
      <c r="AU51" s="18" t="n">
        <v>0</v>
      </c>
      <c r="AV51" s="18" t="n">
        <v>77</v>
      </c>
      <c r="AW51" s="18" t="n">
        <v>15.3</v>
      </c>
      <c r="AX51" s="18" t="n">
        <v>93.1</v>
      </c>
      <c r="AY51" s="18" t="s">
        <v>223</v>
      </c>
    </row>
    <row r="52" customFormat="false" ht="15" hidden="false" customHeight="false" outlineLevel="0" collapsed="false">
      <c r="A52" s="18" t="n">
        <v>51</v>
      </c>
      <c r="B52" s="18" t="s">
        <v>224</v>
      </c>
      <c r="C52" s="18" t="s">
        <v>146</v>
      </c>
      <c r="D52" s="18"/>
      <c r="E52" s="18" t="n">
        <v>0.75</v>
      </c>
      <c r="F52" s="18" t="n">
        <v>-1.25</v>
      </c>
      <c r="G52" s="18" t="n">
        <v>-0.93</v>
      </c>
      <c r="H52" s="18" t="n">
        <v>0</v>
      </c>
      <c r="I52" s="18" t="n">
        <v>0.7</v>
      </c>
      <c r="J52" s="18" t="n">
        <v>0.6</v>
      </c>
      <c r="K52" s="18" t="n">
        <v>3</v>
      </c>
      <c r="L52" s="18" t="n">
        <v>24</v>
      </c>
      <c r="M52" s="18" t="n">
        <v>20260906</v>
      </c>
      <c r="N52" s="18" t="n">
        <v>0</v>
      </c>
      <c r="O52" s="19" t="n">
        <v>0.8394</v>
      </c>
      <c r="P52" s="18" t="s">
        <v>116</v>
      </c>
      <c r="Q52" s="19" t="n">
        <v>0.834</v>
      </c>
      <c r="R52" s="19" t="n">
        <v>0.845</v>
      </c>
      <c r="S52" s="19" t="n">
        <v>0.839</v>
      </c>
      <c r="T52" s="19" t="n">
        <v>0.94</v>
      </c>
      <c r="U52" s="18" t="n">
        <v>16.1</v>
      </c>
      <c r="V52" s="19" t="n">
        <v>0.74</v>
      </c>
      <c r="W52" s="19" t="n">
        <v>-0.023</v>
      </c>
      <c r="X52" s="19" t="n">
        <v>0.358</v>
      </c>
      <c r="Y52" s="19" t="n">
        <v>0.779</v>
      </c>
      <c r="Z52" s="18" t="n">
        <v>30.8</v>
      </c>
      <c r="AA52" s="18" t="n">
        <v>40</v>
      </c>
      <c r="AB52" s="18" t="n">
        <v>0.83</v>
      </c>
      <c r="AC52" s="18" t="n">
        <v>2.36</v>
      </c>
      <c r="AD52" s="18" t="n">
        <v>38.1</v>
      </c>
      <c r="AE52" s="18" t="n">
        <v>8.8</v>
      </c>
      <c r="AF52" s="18" t="n">
        <v>0.005</v>
      </c>
      <c r="AG52" s="18" t="n">
        <v>0.54</v>
      </c>
      <c r="AH52" s="18" t="n">
        <v>8.5</v>
      </c>
      <c r="AI52" s="18" t="n">
        <v>113</v>
      </c>
      <c r="AJ52" s="18" t="n">
        <v>2121</v>
      </c>
      <c r="AK52" s="18" t="n">
        <v>175</v>
      </c>
      <c r="AL52" s="18" t="n">
        <v>5</v>
      </c>
      <c r="AM52" s="18" t="n">
        <v>22</v>
      </c>
      <c r="AN52" s="20" t="n">
        <v>-0.0528</v>
      </c>
      <c r="AO52" s="20" t="n">
        <v>0.0511</v>
      </c>
      <c r="AP52" s="20" t="n">
        <v>-0.0329</v>
      </c>
      <c r="AQ52" s="20" t="n">
        <v>0.029</v>
      </c>
      <c r="AR52" s="18" t="n">
        <v>26</v>
      </c>
      <c r="AS52" s="18" t="n">
        <v>7</v>
      </c>
      <c r="AT52" s="18" t="n">
        <v>4</v>
      </c>
      <c r="AU52" s="18" t="n">
        <v>0</v>
      </c>
      <c r="AV52" s="18" t="n">
        <v>134</v>
      </c>
      <c r="AW52" s="18" t="n">
        <v>15.7</v>
      </c>
      <c r="AX52" s="18" t="n">
        <v>273.1</v>
      </c>
      <c r="AY52" s="18" t="s">
        <v>225</v>
      </c>
    </row>
    <row r="53" customFormat="false" ht="15" hidden="false" customHeight="false" outlineLevel="0" collapsed="false">
      <c r="A53" s="18" t="n">
        <v>52</v>
      </c>
      <c r="B53" s="18" t="s">
        <v>226</v>
      </c>
      <c r="C53" s="18" t="s">
        <v>151</v>
      </c>
      <c r="D53" s="18"/>
      <c r="E53" s="18" t="n">
        <v>0.7</v>
      </c>
      <c r="F53" s="18" t="n">
        <v>-1.25</v>
      </c>
      <c r="G53" s="18" t="n">
        <v>-0.93</v>
      </c>
      <c r="H53" s="18" t="n">
        <v>0</v>
      </c>
      <c r="I53" s="18" t="n">
        <v>0.7</v>
      </c>
      <c r="J53" s="18" t="n">
        <v>0.6</v>
      </c>
      <c r="K53" s="18" t="n">
        <v>3</v>
      </c>
      <c r="L53" s="18" t="n">
        <v>24</v>
      </c>
      <c r="M53" s="18" t="n">
        <v>20260911</v>
      </c>
      <c r="N53" s="18" t="n">
        <v>1</v>
      </c>
      <c r="O53" s="19" t="n">
        <v>0.9681</v>
      </c>
      <c r="P53" s="18" t="s">
        <v>116</v>
      </c>
      <c r="Q53" s="19" t="n">
        <v>0.955</v>
      </c>
      <c r="R53" s="19" t="n">
        <v>0.981</v>
      </c>
      <c r="S53" s="19" t="n">
        <v>0.968</v>
      </c>
      <c r="T53" s="19" t="n">
        <v>0.989</v>
      </c>
      <c r="U53" s="18" t="n">
        <v>6.9</v>
      </c>
      <c r="V53" s="19" t="n">
        <v>0.925</v>
      </c>
      <c r="W53" s="19" t="n">
        <v>0.96</v>
      </c>
      <c r="X53" s="19" t="n">
        <v>0.942</v>
      </c>
      <c r="Y53" s="19" t="n">
        <v>0.98</v>
      </c>
      <c r="Z53" s="18" t="n">
        <v>9.2</v>
      </c>
      <c r="AA53" s="18" t="n">
        <v>48</v>
      </c>
      <c r="AB53" s="18" t="n">
        <v>1</v>
      </c>
      <c r="AC53" s="18" t="n">
        <v>5.35</v>
      </c>
      <c r="AD53" s="18" t="n">
        <v>36.7</v>
      </c>
      <c r="AE53" s="18" t="n">
        <v>7.4</v>
      </c>
      <c r="AF53" s="18" t="n">
        <v>-0.001</v>
      </c>
      <c r="AG53" s="18" t="n">
        <v>0.54</v>
      </c>
      <c r="AH53" s="18" t="n">
        <v>6.8</v>
      </c>
      <c r="AI53" s="18" t="n">
        <v>105</v>
      </c>
      <c r="AJ53" s="18" t="n">
        <v>2135</v>
      </c>
      <c r="AK53" s="18" t="n">
        <v>185</v>
      </c>
      <c r="AL53" s="18" t="n">
        <v>6</v>
      </c>
      <c r="AM53" s="18" t="n">
        <v>4</v>
      </c>
      <c r="AN53" s="20" t="n">
        <v>-0.0616</v>
      </c>
      <c r="AO53" s="20" t="n">
        <v>0.0507</v>
      </c>
      <c r="AP53" s="20" t="n">
        <v>-0.05</v>
      </c>
      <c r="AQ53" s="20" t="n">
        <v>0.0293</v>
      </c>
      <c r="AR53" s="18" t="n">
        <v>12</v>
      </c>
      <c r="AS53" s="18" t="n">
        <v>11</v>
      </c>
      <c r="AT53" s="18" t="n">
        <v>5</v>
      </c>
      <c r="AU53" s="18" t="n">
        <v>0</v>
      </c>
      <c r="AV53" s="18" t="n">
        <v>111</v>
      </c>
      <c r="AW53" s="18" t="n">
        <v>16</v>
      </c>
      <c r="AX53" s="18" t="n">
        <v>188.4</v>
      </c>
      <c r="AY53" s="18" t="s">
        <v>227</v>
      </c>
    </row>
    <row r="54" customFormat="false" ht="15" hidden="false" customHeight="false" outlineLevel="0" collapsed="false">
      <c r="A54" s="18" t="n">
        <v>53</v>
      </c>
      <c r="B54" s="18" t="s">
        <v>228</v>
      </c>
      <c r="C54" s="18" t="s">
        <v>146</v>
      </c>
      <c r="D54" s="18"/>
      <c r="E54" s="18" t="n">
        <v>0.7</v>
      </c>
      <c r="F54" s="18" t="n">
        <v>-1.25</v>
      </c>
      <c r="G54" s="18" t="n">
        <v>-0.93</v>
      </c>
      <c r="H54" s="18" t="n">
        <v>0</v>
      </c>
      <c r="I54" s="18" t="n">
        <v>0.7</v>
      </c>
      <c r="J54" s="18" t="n">
        <v>0.7</v>
      </c>
      <c r="K54" s="18" t="n">
        <v>3</v>
      </c>
      <c r="L54" s="18" t="n">
        <v>24</v>
      </c>
      <c r="M54" s="18" t="n">
        <v>20260906</v>
      </c>
      <c r="N54" s="18" t="n">
        <v>0</v>
      </c>
      <c r="O54" s="19" t="n">
        <v>0.9768</v>
      </c>
      <c r="P54" s="18" t="s">
        <v>116</v>
      </c>
      <c r="Q54" s="19" t="n">
        <v>0.972</v>
      </c>
      <c r="R54" s="19" t="n">
        <v>0.982</v>
      </c>
      <c r="S54" s="19" t="n">
        <v>0.977</v>
      </c>
      <c r="T54" s="19" t="n">
        <v>0.993</v>
      </c>
      <c r="U54" s="18" t="n">
        <v>5</v>
      </c>
      <c r="V54" s="19" t="n">
        <v>0.929</v>
      </c>
      <c r="W54" s="19" t="n">
        <v>0.89</v>
      </c>
      <c r="X54" s="19" t="n">
        <v>0.91</v>
      </c>
      <c r="Y54" s="19" t="n">
        <v>0.972</v>
      </c>
      <c r="Z54" s="18" t="n">
        <v>10.4</v>
      </c>
      <c r="AA54" s="18" t="n">
        <v>42</v>
      </c>
      <c r="AB54" s="18" t="n">
        <v>0.88</v>
      </c>
      <c r="AC54" s="18" t="n">
        <v>6.73</v>
      </c>
      <c r="AD54" s="18" t="n">
        <v>33.9</v>
      </c>
      <c r="AE54" s="18" t="n">
        <v>7.5</v>
      </c>
      <c r="AF54" s="18" t="n">
        <v>-0.011</v>
      </c>
      <c r="AG54" s="18" t="n">
        <v>0.5</v>
      </c>
      <c r="AH54" s="18" t="n">
        <v>5.8</v>
      </c>
      <c r="AI54" s="18" t="n">
        <v>103</v>
      </c>
      <c r="AJ54" s="18" t="n">
        <v>2107</v>
      </c>
      <c r="AK54" s="18" t="n">
        <v>183</v>
      </c>
      <c r="AL54" s="18" t="n">
        <v>5</v>
      </c>
      <c r="AM54" s="18" t="n">
        <v>17</v>
      </c>
      <c r="AN54" s="20" t="n">
        <v>-0.0588</v>
      </c>
      <c r="AO54" s="20" t="n">
        <v>0.049</v>
      </c>
      <c r="AP54" s="20" t="n">
        <v>-0.0577</v>
      </c>
      <c r="AQ54" s="20" t="n">
        <v>0.0316</v>
      </c>
      <c r="AR54" s="18" t="n">
        <v>10</v>
      </c>
      <c r="AS54" s="18" t="n">
        <v>21</v>
      </c>
      <c r="AT54" s="18" t="n">
        <v>27</v>
      </c>
      <c r="AU54" s="18" t="n">
        <v>0</v>
      </c>
      <c r="AV54" s="18" t="n">
        <v>140</v>
      </c>
      <c r="AW54" s="18" t="n">
        <v>16.6</v>
      </c>
      <c r="AX54" s="18" t="n">
        <v>157.7</v>
      </c>
      <c r="AY54" s="18" t="s">
        <v>229</v>
      </c>
    </row>
    <row r="55" customFormat="false" ht="15" hidden="false" customHeight="false" outlineLevel="0" collapsed="false">
      <c r="A55" s="18" t="n">
        <v>54</v>
      </c>
      <c r="B55" s="18" t="s">
        <v>230</v>
      </c>
      <c r="C55" s="18" t="s">
        <v>114</v>
      </c>
      <c r="D55" s="18" t="s">
        <v>231</v>
      </c>
      <c r="E55" s="18" t="n">
        <v>0.75</v>
      </c>
      <c r="F55" s="18" t="n">
        <v>-1.25</v>
      </c>
      <c r="G55" s="18" t="n">
        <v>-0.93</v>
      </c>
      <c r="H55" s="18" t="n">
        <v>0</v>
      </c>
      <c r="I55" s="18" t="n">
        <v>0.8</v>
      </c>
      <c r="J55" s="18" t="n">
        <v>0.6</v>
      </c>
      <c r="K55" s="18" t="n">
        <v>3</v>
      </c>
      <c r="L55" s="18" t="n">
        <v>24</v>
      </c>
      <c r="M55" s="18" t="n">
        <v>20260906</v>
      </c>
      <c r="N55" s="18" t="n">
        <v>0</v>
      </c>
      <c r="O55" s="19" t="n">
        <v>0.9601</v>
      </c>
      <c r="P55" s="18" t="s">
        <v>116</v>
      </c>
      <c r="Q55" s="19" t="n">
        <v>0.946</v>
      </c>
      <c r="R55" s="19" t="n">
        <v>0.975</v>
      </c>
      <c r="S55" s="19" t="n">
        <v>0.96</v>
      </c>
      <c r="T55" s="19" t="n">
        <v>0.987</v>
      </c>
      <c r="U55" s="18" t="n">
        <v>7.5</v>
      </c>
      <c r="V55" s="19" t="n">
        <v>0.956</v>
      </c>
      <c r="W55" s="19" t="n">
        <v>0.919</v>
      </c>
      <c r="X55" s="19" t="n">
        <v>0.938</v>
      </c>
      <c r="Y55" s="19" t="n">
        <v>0.979</v>
      </c>
      <c r="Z55" s="18" t="n">
        <v>9.5</v>
      </c>
      <c r="AA55" s="18" t="n">
        <v>48</v>
      </c>
      <c r="AB55" s="18" t="n">
        <v>1</v>
      </c>
      <c r="AC55" s="18" t="n">
        <v>5.42</v>
      </c>
      <c r="AD55" s="18" t="n">
        <v>40.7</v>
      </c>
      <c r="AE55" s="18" t="n">
        <v>9.1</v>
      </c>
      <c r="AF55" s="18" t="n">
        <v>0.006</v>
      </c>
      <c r="AG55" s="18" t="n">
        <v>0.54</v>
      </c>
      <c r="AH55" s="18" t="n">
        <v>7.4</v>
      </c>
      <c r="AI55" s="18" t="n">
        <v>160</v>
      </c>
      <c r="AJ55" s="18" t="n">
        <v>2044</v>
      </c>
      <c r="AK55" s="18" t="n">
        <v>194</v>
      </c>
      <c r="AL55" s="18" t="n">
        <v>2</v>
      </c>
      <c r="AM55" s="18" t="n">
        <v>9</v>
      </c>
      <c r="AN55" s="20" t="n">
        <v>-0.0492</v>
      </c>
      <c r="AO55" s="20" t="n">
        <v>0.0409</v>
      </c>
      <c r="AP55" s="20" t="n">
        <v>-0.0472</v>
      </c>
      <c r="AQ55" s="20" t="n">
        <v>0.0444</v>
      </c>
      <c r="AR55" s="18" t="n">
        <v>10</v>
      </c>
      <c r="AS55" s="18" t="n">
        <v>11</v>
      </c>
      <c r="AT55" s="18" t="n">
        <v>27</v>
      </c>
      <c r="AU55" s="18" t="n">
        <v>0</v>
      </c>
      <c r="AV55" s="18" t="n">
        <v>66</v>
      </c>
      <c r="AW55" s="18" t="n">
        <v>15.9</v>
      </c>
      <c r="AX55" s="18" t="n">
        <v>82.7</v>
      </c>
      <c r="AY55" s="18" t="s">
        <v>232</v>
      </c>
    </row>
    <row r="56" customFormat="false" ht="15" hidden="false" customHeight="false" outlineLevel="0" collapsed="false">
      <c r="A56" s="18" t="n">
        <v>55</v>
      </c>
      <c r="B56" s="18" t="s">
        <v>233</v>
      </c>
      <c r="C56" s="18" t="s">
        <v>114</v>
      </c>
      <c r="D56" s="18" t="s">
        <v>234</v>
      </c>
      <c r="E56" s="18" t="n">
        <v>0.7</v>
      </c>
      <c r="F56" s="18" t="n">
        <v>-1.25</v>
      </c>
      <c r="G56" s="18" t="n">
        <v>-0.93</v>
      </c>
      <c r="H56" s="18" t="n">
        <v>0</v>
      </c>
      <c r="I56" s="18" t="n">
        <v>0.7</v>
      </c>
      <c r="J56" s="18" t="n">
        <v>0.7</v>
      </c>
      <c r="K56" s="18" t="n">
        <v>3</v>
      </c>
      <c r="L56" s="18" t="n">
        <v>24</v>
      </c>
      <c r="M56" s="18" t="n">
        <v>20260907</v>
      </c>
      <c r="N56" s="18" t="n">
        <v>0</v>
      </c>
      <c r="O56" s="19" t="n">
        <v>0.9746</v>
      </c>
      <c r="P56" s="18" t="s">
        <v>116</v>
      </c>
      <c r="Q56" s="19" t="n">
        <v>0.972</v>
      </c>
      <c r="R56" s="19" t="n">
        <v>0.977</v>
      </c>
      <c r="S56" s="19" t="n">
        <v>0.975</v>
      </c>
      <c r="T56" s="19" t="n">
        <v>0.991</v>
      </c>
      <c r="U56" s="18" t="n">
        <v>6.3</v>
      </c>
      <c r="V56" s="19" t="n">
        <v>0.934</v>
      </c>
      <c r="W56" s="19" t="n">
        <v>0.963</v>
      </c>
      <c r="X56" s="19" t="n">
        <v>0.949</v>
      </c>
      <c r="Y56" s="19" t="n">
        <v>0.981</v>
      </c>
      <c r="Z56" s="18" t="n">
        <v>9.2</v>
      </c>
      <c r="AA56" s="18" t="n">
        <v>46</v>
      </c>
      <c r="AB56" s="18" t="n">
        <v>0.96</v>
      </c>
      <c r="AC56" s="18" t="n">
        <v>6.57</v>
      </c>
      <c r="AD56" s="18" t="n">
        <v>41.6</v>
      </c>
      <c r="AE56" s="18" t="n">
        <v>8.3</v>
      </c>
      <c r="AF56" s="18" t="n">
        <v>-0.02</v>
      </c>
      <c r="AG56" s="18" t="n">
        <v>0.67</v>
      </c>
      <c r="AH56" s="18" t="n">
        <v>5.5</v>
      </c>
      <c r="AI56" s="18" t="n">
        <v>100</v>
      </c>
      <c r="AJ56" s="18" t="n">
        <v>2111</v>
      </c>
      <c r="AK56" s="18" t="n">
        <v>186</v>
      </c>
      <c r="AL56" s="18" t="n">
        <v>4</v>
      </c>
      <c r="AM56" s="18" t="n">
        <v>9</v>
      </c>
      <c r="AN56" s="20" t="n">
        <v>-0.0541</v>
      </c>
      <c r="AO56" s="20" t="n">
        <v>0.0472</v>
      </c>
      <c r="AP56" s="20" t="n">
        <v>-0.0391</v>
      </c>
      <c r="AQ56" s="20" t="n">
        <v>0.0449</v>
      </c>
      <c r="AR56" s="18" t="n">
        <v>7</v>
      </c>
      <c r="AS56" s="18" t="n">
        <v>22</v>
      </c>
      <c r="AT56" s="18" t="n">
        <v>6</v>
      </c>
      <c r="AU56" s="18" t="n">
        <v>0</v>
      </c>
      <c r="AV56" s="18" t="n">
        <v>79</v>
      </c>
      <c r="AW56" s="18" t="n">
        <v>16</v>
      </c>
      <c r="AX56" s="18" t="n">
        <v>96.1</v>
      </c>
      <c r="AY56" s="18" t="s">
        <v>235</v>
      </c>
    </row>
    <row r="57" customFormat="false" ht="15" hidden="false" customHeight="false" outlineLevel="0" collapsed="false">
      <c r="A57" s="18" t="n">
        <v>56</v>
      </c>
      <c r="B57" s="18" t="s">
        <v>236</v>
      </c>
      <c r="C57" s="18" t="s">
        <v>114</v>
      </c>
      <c r="D57" s="18" t="s">
        <v>237</v>
      </c>
      <c r="E57" s="18" t="n">
        <v>0.7</v>
      </c>
      <c r="F57" s="18" t="n">
        <v>-1.5</v>
      </c>
      <c r="G57" s="18" t="n">
        <v>-0.93</v>
      </c>
      <c r="H57" s="18" t="n">
        <v>0</v>
      </c>
      <c r="I57" s="18" t="n">
        <v>0.7</v>
      </c>
      <c r="J57" s="18" t="n">
        <v>0.6</v>
      </c>
      <c r="K57" s="18" t="n">
        <v>3</v>
      </c>
      <c r="L57" s="18" t="n">
        <v>24</v>
      </c>
      <c r="M57" s="18" t="n">
        <v>20260907</v>
      </c>
      <c r="N57" s="18" t="n">
        <v>0</v>
      </c>
      <c r="O57" s="19" t="n">
        <v>0.977</v>
      </c>
      <c r="P57" s="18" t="s">
        <v>116</v>
      </c>
      <c r="Q57" s="19" t="n">
        <v>0.969</v>
      </c>
      <c r="R57" s="19" t="n">
        <v>0.985</v>
      </c>
      <c r="S57" s="19" t="n">
        <v>0.977</v>
      </c>
      <c r="T57" s="19" t="n">
        <v>0.99</v>
      </c>
      <c r="U57" s="18" t="n">
        <v>7.2</v>
      </c>
      <c r="V57" s="19" t="n">
        <v>0.986</v>
      </c>
      <c r="W57" s="19" t="n">
        <v>0.948</v>
      </c>
      <c r="X57" s="19" t="n">
        <v>0.967</v>
      </c>
      <c r="Y57" s="19" t="n">
        <v>0.987</v>
      </c>
      <c r="Z57" s="18" t="n">
        <v>8.1</v>
      </c>
      <c r="AA57" s="18" t="n">
        <v>46</v>
      </c>
      <c r="AB57" s="18" t="n">
        <v>0.96</v>
      </c>
      <c r="AC57" s="18" t="n">
        <v>6.55</v>
      </c>
      <c r="AD57" s="18" t="n">
        <v>46.9</v>
      </c>
      <c r="AE57" s="18" t="n">
        <v>8.1</v>
      </c>
      <c r="AF57" s="18" t="n">
        <v>0.018</v>
      </c>
      <c r="AG57" s="18" t="n">
        <v>0.5</v>
      </c>
      <c r="AH57" s="18" t="n">
        <v>5.2</v>
      </c>
      <c r="AI57" s="18" t="n">
        <v>116</v>
      </c>
      <c r="AJ57" s="18" t="n">
        <v>1758</v>
      </c>
      <c r="AK57" s="18" t="n">
        <v>204</v>
      </c>
      <c r="AL57" s="18" t="n">
        <v>7</v>
      </c>
      <c r="AM57" s="18" t="n">
        <v>8</v>
      </c>
      <c r="AN57" s="20" t="n">
        <v>-0.0765</v>
      </c>
      <c r="AO57" s="20" t="n">
        <v>0.0925</v>
      </c>
      <c r="AP57" s="20" t="n">
        <v>-0.0606</v>
      </c>
      <c r="AQ57" s="20" t="n">
        <v>0.06</v>
      </c>
      <c r="AR57" s="18" t="n">
        <v>14</v>
      </c>
      <c r="AS57" s="18" t="n">
        <v>8</v>
      </c>
      <c r="AT57" s="18" t="n">
        <v>21</v>
      </c>
      <c r="AU57" s="18" t="n">
        <v>0</v>
      </c>
      <c r="AV57" s="18" t="n">
        <v>111</v>
      </c>
      <c r="AW57" s="18" t="n">
        <v>16.3</v>
      </c>
      <c r="AX57" s="18" t="n">
        <v>128.8</v>
      </c>
      <c r="AY57" s="18" t="s">
        <v>238</v>
      </c>
    </row>
    <row r="58" customFormat="false" ht="15" hidden="false" customHeight="false" outlineLevel="0" collapsed="false">
      <c r="A58" s="18" t="n">
        <v>57</v>
      </c>
      <c r="B58" s="18" t="s">
        <v>239</v>
      </c>
      <c r="C58" s="18" t="s">
        <v>114</v>
      </c>
      <c r="D58" s="18" t="s">
        <v>240</v>
      </c>
      <c r="E58" s="18" t="n">
        <v>0.75</v>
      </c>
      <c r="F58" s="18" t="n">
        <v>-1.25</v>
      </c>
      <c r="G58" s="18" t="n">
        <v>-0.93</v>
      </c>
      <c r="H58" s="18" t="n">
        <v>0</v>
      </c>
      <c r="I58" s="18" t="n">
        <v>0.8</v>
      </c>
      <c r="J58" s="18" t="n">
        <v>0.7</v>
      </c>
      <c r="K58" s="18" t="n">
        <v>3</v>
      </c>
      <c r="L58" s="18" t="n">
        <v>24</v>
      </c>
      <c r="M58" s="18" t="n">
        <v>20260905</v>
      </c>
      <c r="N58" s="18" t="n">
        <v>0</v>
      </c>
      <c r="O58" s="19" t="n">
        <v>0.9624</v>
      </c>
      <c r="P58" s="18" t="s">
        <v>116</v>
      </c>
      <c r="Q58" s="19" t="n">
        <v>0.974</v>
      </c>
      <c r="R58" s="19" t="n">
        <v>0.95</v>
      </c>
      <c r="S58" s="19" t="n">
        <v>0.962</v>
      </c>
      <c r="T58" s="19" t="n">
        <v>0.985</v>
      </c>
      <c r="U58" s="18" t="n">
        <v>8.6</v>
      </c>
      <c r="V58" s="19" t="n">
        <v>0.95</v>
      </c>
      <c r="W58" s="19" t="n">
        <v>0.926</v>
      </c>
      <c r="X58" s="19" t="n">
        <v>0.938</v>
      </c>
      <c r="Y58" s="19" t="n">
        <v>0.975</v>
      </c>
      <c r="Z58" s="18" t="n">
        <v>11</v>
      </c>
      <c r="AA58" s="18" t="n">
        <v>48</v>
      </c>
      <c r="AB58" s="18" t="n">
        <v>1</v>
      </c>
      <c r="AC58" s="18" t="n">
        <v>5.43</v>
      </c>
      <c r="AD58" s="18" t="n">
        <v>46.5</v>
      </c>
      <c r="AE58" s="18" t="n">
        <v>10.1</v>
      </c>
      <c r="AF58" s="18" t="n">
        <v>-0.035</v>
      </c>
      <c r="AG58" s="18" t="n">
        <v>0.67</v>
      </c>
      <c r="AH58" s="18" t="n">
        <v>8.4</v>
      </c>
      <c r="AI58" s="18" t="n">
        <v>149</v>
      </c>
      <c r="AJ58" s="18" t="n">
        <v>2083</v>
      </c>
      <c r="AK58" s="18" t="n">
        <v>189</v>
      </c>
      <c r="AL58" s="18" t="n">
        <v>2</v>
      </c>
      <c r="AM58" s="18" t="n">
        <v>7</v>
      </c>
      <c r="AN58" s="20" t="n">
        <v>-0.0351</v>
      </c>
      <c r="AO58" s="20" t="n">
        <v>0.054</v>
      </c>
      <c r="AP58" s="20" t="n">
        <v>-0.0386</v>
      </c>
      <c r="AQ58" s="20" t="n">
        <v>0.0558</v>
      </c>
      <c r="AR58" s="18" t="n">
        <v>6</v>
      </c>
      <c r="AS58" s="18" t="n">
        <v>17</v>
      </c>
      <c r="AT58" s="18" t="n">
        <v>11</v>
      </c>
      <c r="AU58" s="18" t="n">
        <v>0</v>
      </c>
      <c r="AV58" s="18" t="n">
        <v>148</v>
      </c>
      <c r="AW58" s="18" t="n">
        <v>16.7</v>
      </c>
      <c r="AX58" s="18" t="n">
        <v>166</v>
      </c>
      <c r="AY58" s="18" t="s">
        <v>241</v>
      </c>
    </row>
    <row r="59" customFormat="false" ht="15" hidden="false" customHeight="false" outlineLevel="0" collapsed="false">
      <c r="A59" s="18" t="n">
        <v>58</v>
      </c>
      <c r="B59" s="18" t="s">
        <v>242</v>
      </c>
      <c r="C59" s="18" t="s">
        <v>114</v>
      </c>
      <c r="D59" s="18" t="s">
        <v>231</v>
      </c>
      <c r="E59" s="18" t="n">
        <v>0.75</v>
      </c>
      <c r="F59" s="18" t="n">
        <v>-1.25</v>
      </c>
      <c r="G59" s="18" t="n">
        <v>-0.93</v>
      </c>
      <c r="H59" s="18" t="n">
        <v>0</v>
      </c>
      <c r="I59" s="18" t="n">
        <v>0.8</v>
      </c>
      <c r="J59" s="18" t="n">
        <v>0.6</v>
      </c>
      <c r="K59" s="18" t="n">
        <v>3</v>
      </c>
      <c r="L59" s="18" t="n">
        <v>24</v>
      </c>
      <c r="M59" s="18" t="n">
        <v>20260907</v>
      </c>
      <c r="N59" s="18" t="n">
        <v>0</v>
      </c>
      <c r="O59" s="19" t="n">
        <v>0.9816</v>
      </c>
      <c r="P59" s="18" t="s">
        <v>116</v>
      </c>
      <c r="Q59" s="19" t="n">
        <v>0.983</v>
      </c>
      <c r="R59" s="19" t="n">
        <v>0.98</v>
      </c>
      <c r="S59" s="19" t="n">
        <v>0.982</v>
      </c>
      <c r="T59" s="19" t="n">
        <v>0.992</v>
      </c>
      <c r="U59" s="18" t="n">
        <v>6.5</v>
      </c>
      <c r="V59" s="19" t="n">
        <v>0.928</v>
      </c>
      <c r="W59" s="19" t="n">
        <v>0.484</v>
      </c>
      <c r="X59" s="19" t="n">
        <v>0.706</v>
      </c>
      <c r="Y59" s="19" t="n">
        <v>0.869</v>
      </c>
      <c r="Z59" s="18" t="n">
        <v>26</v>
      </c>
      <c r="AA59" s="18" t="n">
        <v>48</v>
      </c>
      <c r="AB59" s="18" t="n">
        <v>1</v>
      </c>
      <c r="AC59" s="18" t="n">
        <v>7.57</v>
      </c>
      <c r="AD59" s="18" t="n">
        <v>49.3</v>
      </c>
      <c r="AE59" s="18" t="n">
        <v>8.7</v>
      </c>
      <c r="AF59" s="18" t="n">
        <v>-0.02</v>
      </c>
      <c r="AG59" s="18" t="n">
        <v>0.62</v>
      </c>
      <c r="AH59" s="18" t="n">
        <v>5.8</v>
      </c>
      <c r="AI59" s="18" t="n">
        <v>143</v>
      </c>
      <c r="AJ59" s="18" t="n">
        <v>2081</v>
      </c>
      <c r="AK59" s="18" t="n">
        <v>189</v>
      </c>
      <c r="AL59" s="18" t="n">
        <v>3</v>
      </c>
      <c r="AM59" s="18" t="n">
        <v>41</v>
      </c>
      <c r="AN59" s="20" t="n">
        <v>-0.0424</v>
      </c>
      <c r="AO59" s="20" t="n">
        <v>0.0537</v>
      </c>
      <c r="AP59" s="20" t="n">
        <v>-0.0463</v>
      </c>
      <c r="AQ59" s="20" t="n">
        <v>0.0166</v>
      </c>
      <c r="AR59" s="18" t="n">
        <v>15</v>
      </c>
      <c r="AS59" s="18" t="n">
        <v>23</v>
      </c>
      <c r="AT59" s="18" t="n">
        <v>16</v>
      </c>
      <c r="AU59" s="18" t="n">
        <v>0</v>
      </c>
      <c r="AV59" s="18" t="n">
        <v>84</v>
      </c>
      <c r="AW59" s="18" t="n">
        <v>16</v>
      </c>
      <c r="AX59" s="18" t="n">
        <v>100.8</v>
      </c>
      <c r="AY59" s="18" t="s">
        <v>243</v>
      </c>
    </row>
    <row r="60" customFormat="false" ht="15" hidden="false" customHeight="false" outlineLevel="0" collapsed="false">
      <c r="A60" s="18" t="n">
        <v>59</v>
      </c>
      <c r="B60" s="18" t="s">
        <v>244</v>
      </c>
      <c r="C60" s="18" t="s">
        <v>114</v>
      </c>
      <c r="D60" s="18" t="s">
        <v>234</v>
      </c>
      <c r="E60" s="18" t="n">
        <v>0.7</v>
      </c>
      <c r="F60" s="18" t="n">
        <v>-1.25</v>
      </c>
      <c r="G60" s="18" t="n">
        <v>-0.93</v>
      </c>
      <c r="H60" s="18" t="n">
        <v>0</v>
      </c>
      <c r="I60" s="18" t="n">
        <v>0.7</v>
      </c>
      <c r="J60" s="18" t="n">
        <v>0.7</v>
      </c>
      <c r="K60" s="18" t="n">
        <v>3</v>
      </c>
      <c r="L60" s="18" t="n">
        <v>24</v>
      </c>
      <c r="M60" s="18" t="n">
        <v>20260908</v>
      </c>
      <c r="N60" s="18" t="n">
        <v>0</v>
      </c>
      <c r="O60" s="19" t="n">
        <v>0.9602</v>
      </c>
      <c r="P60" s="18" t="s">
        <v>116</v>
      </c>
      <c r="Q60" s="19" t="n">
        <v>0.975</v>
      </c>
      <c r="R60" s="19" t="n">
        <v>0.945</v>
      </c>
      <c r="S60" s="19" t="n">
        <v>0.96</v>
      </c>
      <c r="T60" s="19" t="n">
        <v>0.991</v>
      </c>
      <c r="U60" s="18" t="n">
        <v>6</v>
      </c>
      <c r="V60" s="19" t="n">
        <v>0.796</v>
      </c>
      <c r="W60" s="19" t="n">
        <v>0.847</v>
      </c>
      <c r="X60" s="19" t="n">
        <v>0.822</v>
      </c>
      <c r="Y60" s="19" t="n">
        <v>0.957</v>
      </c>
      <c r="Z60" s="18" t="n">
        <v>12.8</v>
      </c>
      <c r="AA60" s="18" t="n">
        <v>44</v>
      </c>
      <c r="AB60" s="18" t="n">
        <v>0.92</v>
      </c>
      <c r="AC60" s="18" t="n">
        <v>5.02</v>
      </c>
      <c r="AD60" s="18" t="n">
        <v>29.9</v>
      </c>
      <c r="AE60" s="18" t="n">
        <v>8.6</v>
      </c>
      <c r="AF60" s="18" t="n">
        <v>0.006</v>
      </c>
      <c r="AG60" s="18" t="n">
        <v>0.58</v>
      </c>
      <c r="AH60" s="18" t="n">
        <v>8.3</v>
      </c>
      <c r="AI60" s="18" t="n">
        <v>99</v>
      </c>
      <c r="AJ60" s="18" t="n">
        <v>2129</v>
      </c>
      <c r="AK60" s="18" t="n">
        <v>184</v>
      </c>
      <c r="AL60" s="18" t="n">
        <v>5</v>
      </c>
      <c r="AM60" s="18" t="n">
        <v>11</v>
      </c>
      <c r="AN60" s="20" t="n">
        <v>-0.0409</v>
      </c>
      <c r="AO60" s="20" t="n">
        <v>0.041</v>
      </c>
      <c r="AP60" s="20" t="n">
        <v>-0.0544</v>
      </c>
      <c r="AQ60" s="20" t="n">
        <v>0.0304</v>
      </c>
      <c r="AR60" s="18" t="n">
        <v>8</v>
      </c>
      <c r="AS60" s="18" t="n">
        <v>10</v>
      </c>
      <c r="AT60" s="18" t="n">
        <v>6</v>
      </c>
      <c r="AU60" s="18" t="n">
        <v>0</v>
      </c>
      <c r="AV60" s="18" t="n">
        <v>91</v>
      </c>
      <c r="AW60" s="18" t="n">
        <v>15.8</v>
      </c>
      <c r="AX60" s="18" t="n">
        <v>107.9</v>
      </c>
      <c r="AY60" s="18" t="s">
        <v>245</v>
      </c>
    </row>
    <row r="61" customFormat="false" ht="15" hidden="false" customHeight="false" outlineLevel="0" collapsed="false">
      <c r="A61" s="18" t="n">
        <v>60</v>
      </c>
      <c r="B61" s="18" t="s">
        <v>246</v>
      </c>
      <c r="C61" s="18" t="s">
        <v>114</v>
      </c>
      <c r="D61" s="18" t="s">
        <v>237</v>
      </c>
      <c r="E61" s="18" t="n">
        <v>0.7</v>
      </c>
      <c r="F61" s="18" t="n">
        <v>-1.5</v>
      </c>
      <c r="G61" s="18" t="n">
        <v>-0.93</v>
      </c>
      <c r="H61" s="18" t="n">
        <v>0</v>
      </c>
      <c r="I61" s="18" t="n">
        <v>0.7</v>
      </c>
      <c r="J61" s="18" t="n">
        <v>0.6</v>
      </c>
      <c r="K61" s="18" t="n">
        <v>3</v>
      </c>
      <c r="L61" s="18" t="n">
        <v>24</v>
      </c>
      <c r="M61" s="18" t="n">
        <v>20260908</v>
      </c>
      <c r="N61" s="18" t="n">
        <v>0</v>
      </c>
      <c r="O61" s="19" t="n">
        <v>0.9501</v>
      </c>
      <c r="P61" s="18" t="s">
        <v>116</v>
      </c>
      <c r="Q61" s="19" t="n">
        <v>0.948</v>
      </c>
      <c r="R61" s="19" t="n">
        <v>0.952</v>
      </c>
      <c r="S61" s="19" t="n">
        <v>0.95</v>
      </c>
      <c r="T61" s="19" t="n">
        <v>0.987</v>
      </c>
      <c r="U61" s="18" t="n">
        <v>7.6</v>
      </c>
      <c r="V61" s="19" t="n">
        <v>0.862</v>
      </c>
      <c r="W61" s="19" t="n">
        <v>0.949</v>
      </c>
      <c r="X61" s="19" t="n">
        <v>0.906</v>
      </c>
      <c r="Y61" s="19" t="n">
        <v>0.975</v>
      </c>
      <c r="Z61" s="18" t="n">
        <v>10.5</v>
      </c>
      <c r="AA61" s="18" t="n">
        <v>46</v>
      </c>
      <c r="AB61" s="18" t="n">
        <v>0.96</v>
      </c>
      <c r="AC61" s="18" t="n">
        <v>4.38</v>
      </c>
      <c r="AD61" s="18" t="n">
        <v>33.4</v>
      </c>
      <c r="AE61" s="18" t="n">
        <v>7.5</v>
      </c>
      <c r="AF61" s="18" t="n">
        <v>0.012</v>
      </c>
      <c r="AG61" s="18" t="n">
        <v>0.67</v>
      </c>
      <c r="AH61" s="18" t="n">
        <v>7.3</v>
      </c>
      <c r="AI61" s="18" t="n">
        <v>98</v>
      </c>
      <c r="AJ61" s="18" t="n">
        <v>1778</v>
      </c>
      <c r="AK61" s="18" t="n">
        <v>205</v>
      </c>
      <c r="AL61" s="18" t="n">
        <v>2</v>
      </c>
      <c r="AM61" s="18" t="n">
        <v>6</v>
      </c>
      <c r="AN61" s="20" t="n">
        <v>-0.0622</v>
      </c>
      <c r="AO61" s="20" t="n">
        <v>0.0842</v>
      </c>
      <c r="AP61" s="20" t="n">
        <v>-0.0498</v>
      </c>
      <c r="AQ61" s="20" t="n">
        <v>0.0635</v>
      </c>
      <c r="AR61" s="18" t="n">
        <v>8</v>
      </c>
      <c r="AS61" s="18" t="n">
        <v>18</v>
      </c>
      <c r="AT61" s="18" t="n">
        <v>12</v>
      </c>
      <c r="AU61" s="18" t="n">
        <v>0</v>
      </c>
      <c r="AV61" s="18" t="n">
        <v>90</v>
      </c>
      <c r="AW61" s="18" t="n">
        <v>16.3</v>
      </c>
      <c r="AX61" s="18" t="n">
        <v>107.2</v>
      </c>
      <c r="AY61" s="18" t="s">
        <v>247</v>
      </c>
    </row>
    <row r="62" customFormat="false" ht="15" hidden="false" customHeight="false" outlineLevel="0" collapsed="false">
      <c r="A62" s="18" t="n">
        <v>61</v>
      </c>
      <c r="B62" s="18" t="s">
        <v>248</v>
      </c>
      <c r="C62" s="18" t="s">
        <v>114</v>
      </c>
      <c r="D62" s="18" t="s">
        <v>240</v>
      </c>
      <c r="E62" s="18" t="n">
        <v>0.75</v>
      </c>
      <c r="F62" s="18" t="n">
        <v>-1.25</v>
      </c>
      <c r="G62" s="18" t="n">
        <v>-0.93</v>
      </c>
      <c r="H62" s="18" t="n">
        <v>0</v>
      </c>
      <c r="I62" s="18" t="n">
        <v>0.8</v>
      </c>
      <c r="J62" s="18" t="n">
        <v>0.7</v>
      </c>
      <c r="K62" s="18" t="n">
        <v>3</v>
      </c>
      <c r="L62" s="18" t="n">
        <v>24</v>
      </c>
      <c r="M62" s="18" t="n">
        <v>20260906</v>
      </c>
      <c r="N62" s="18" t="n">
        <v>0</v>
      </c>
      <c r="O62" s="19" t="n">
        <v>0.9496</v>
      </c>
      <c r="P62" s="18" t="s">
        <v>116</v>
      </c>
      <c r="Q62" s="19" t="n">
        <v>0.964</v>
      </c>
      <c r="R62" s="19" t="n">
        <v>0.935</v>
      </c>
      <c r="S62" s="19" t="n">
        <v>0.95</v>
      </c>
      <c r="T62" s="19" t="n">
        <v>0.981</v>
      </c>
      <c r="U62" s="18" t="n">
        <v>9.3</v>
      </c>
      <c r="V62" s="19" t="n">
        <v>0.93</v>
      </c>
      <c r="W62" s="19" t="n">
        <v>0.853</v>
      </c>
      <c r="X62" s="19" t="n">
        <v>0.891</v>
      </c>
      <c r="Y62" s="19" t="n">
        <v>0.959</v>
      </c>
      <c r="Z62" s="18" t="n">
        <v>13.7</v>
      </c>
      <c r="AA62" s="18" t="n">
        <v>48</v>
      </c>
      <c r="AB62" s="18" t="n">
        <v>1</v>
      </c>
      <c r="AC62" s="18" t="n">
        <v>4.5</v>
      </c>
      <c r="AD62" s="18" t="n">
        <v>41.9</v>
      </c>
      <c r="AE62" s="18" t="n">
        <v>8.8</v>
      </c>
      <c r="AF62" s="18" t="n">
        <v>-0.005</v>
      </c>
      <c r="AG62" s="18" t="n">
        <v>0.54</v>
      </c>
      <c r="AH62" s="18" t="n">
        <v>5.7</v>
      </c>
      <c r="AI62" s="18" t="n">
        <v>126</v>
      </c>
      <c r="AJ62" s="18" t="n">
        <v>2109</v>
      </c>
      <c r="AK62" s="18" t="n">
        <v>194</v>
      </c>
      <c r="AL62" s="18" t="n">
        <v>8</v>
      </c>
      <c r="AM62" s="18" t="n">
        <v>19</v>
      </c>
      <c r="AN62" s="20" t="n">
        <v>-0.0436</v>
      </c>
      <c r="AO62" s="20" t="n">
        <v>0.0273</v>
      </c>
      <c r="AP62" s="20" t="n">
        <v>-0.0229</v>
      </c>
      <c r="AQ62" s="20" t="n">
        <v>0.0084</v>
      </c>
      <c r="AR62" s="18" t="n">
        <v>9</v>
      </c>
      <c r="AS62" s="18" t="n">
        <v>26</v>
      </c>
      <c r="AT62" s="18" t="n">
        <v>10</v>
      </c>
      <c r="AU62" s="18" t="n">
        <v>0</v>
      </c>
      <c r="AV62" s="18" t="n">
        <v>147</v>
      </c>
      <c r="AW62" s="18" t="n">
        <v>16</v>
      </c>
      <c r="AX62" s="18" t="n">
        <v>163.6</v>
      </c>
      <c r="AY62" s="18" t="s">
        <v>249</v>
      </c>
    </row>
    <row r="63" customFormat="false" ht="15" hidden="false" customHeight="false" outlineLevel="0" collapsed="false">
      <c r="A63" s="18" t="n">
        <v>62</v>
      </c>
      <c r="B63" s="18" t="s">
        <v>250</v>
      </c>
      <c r="C63" s="18" t="s">
        <v>114</v>
      </c>
      <c r="D63" s="18" t="s">
        <v>231</v>
      </c>
      <c r="E63" s="18" t="n">
        <v>0.75</v>
      </c>
      <c r="F63" s="18" t="n">
        <v>-1.25</v>
      </c>
      <c r="G63" s="18" t="n">
        <v>-0.93</v>
      </c>
      <c r="H63" s="18" t="n">
        <v>0</v>
      </c>
      <c r="I63" s="18" t="n">
        <v>0.8</v>
      </c>
      <c r="J63" s="18" t="n">
        <v>0.6</v>
      </c>
      <c r="K63" s="18" t="n">
        <v>3</v>
      </c>
      <c r="L63" s="18" t="n">
        <v>24</v>
      </c>
      <c r="M63" s="18" t="n">
        <v>20260908</v>
      </c>
      <c r="N63" s="18" t="n">
        <v>0</v>
      </c>
      <c r="O63" s="19" t="n">
        <v>0.9441</v>
      </c>
      <c r="P63" s="18" t="s">
        <v>116</v>
      </c>
      <c r="Q63" s="19" t="n">
        <v>0.945</v>
      </c>
      <c r="R63" s="19" t="n">
        <v>0.943</v>
      </c>
      <c r="S63" s="19" t="n">
        <v>0.944</v>
      </c>
      <c r="T63" s="19" t="n">
        <v>0.985</v>
      </c>
      <c r="U63" s="18" t="n">
        <v>7.7</v>
      </c>
      <c r="V63" s="19" t="n">
        <v>0.927</v>
      </c>
      <c r="W63" s="19" t="n">
        <v>0.908</v>
      </c>
      <c r="X63" s="19" t="n">
        <v>0.918</v>
      </c>
      <c r="Y63" s="19" t="n">
        <v>0.977</v>
      </c>
      <c r="Z63" s="18" t="n">
        <v>9.4</v>
      </c>
      <c r="AA63" s="18" t="n">
        <v>48</v>
      </c>
      <c r="AB63" s="18" t="n">
        <v>1</v>
      </c>
      <c r="AC63" s="18" t="n">
        <v>4.48</v>
      </c>
      <c r="AD63" s="18" t="n">
        <v>34.7</v>
      </c>
      <c r="AE63" s="18" t="n">
        <v>7.9</v>
      </c>
      <c r="AF63" s="18" t="n">
        <v>-0.031</v>
      </c>
      <c r="AG63" s="18" t="n">
        <v>0.58</v>
      </c>
      <c r="AH63" s="18" t="n">
        <v>5.3</v>
      </c>
      <c r="AI63" s="18" t="n">
        <v>123</v>
      </c>
      <c r="AJ63" s="18" t="n">
        <v>2085</v>
      </c>
      <c r="AK63" s="18" t="n">
        <v>188</v>
      </c>
      <c r="AL63" s="18" t="n">
        <v>7</v>
      </c>
      <c r="AM63" s="18" t="n">
        <v>12</v>
      </c>
      <c r="AN63" s="20" t="n">
        <v>-0.0406</v>
      </c>
      <c r="AO63" s="20" t="n">
        <v>0.0302</v>
      </c>
      <c r="AP63" s="20" t="n">
        <v>-0.0445</v>
      </c>
      <c r="AQ63" s="20" t="n">
        <v>0.0361</v>
      </c>
      <c r="AR63" s="18" t="n">
        <v>12</v>
      </c>
      <c r="AS63" s="18" t="n">
        <v>18</v>
      </c>
      <c r="AT63" s="18" t="n">
        <v>11</v>
      </c>
      <c r="AU63" s="18" t="n">
        <v>0</v>
      </c>
      <c r="AV63" s="18" t="n">
        <v>84</v>
      </c>
      <c r="AW63" s="18" t="n">
        <v>16.4</v>
      </c>
      <c r="AX63" s="18" t="n">
        <v>101.8</v>
      </c>
      <c r="AY63" s="18" t="s">
        <v>251</v>
      </c>
    </row>
    <row r="64" customFormat="false" ht="15" hidden="false" customHeight="false" outlineLevel="0" collapsed="false">
      <c r="A64" s="18" t="n">
        <v>63</v>
      </c>
      <c r="B64" s="18" t="s">
        <v>252</v>
      </c>
      <c r="C64" s="18" t="s">
        <v>114</v>
      </c>
      <c r="D64" s="18" t="s">
        <v>234</v>
      </c>
      <c r="E64" s="18" t="n">
        <v>0.7</v>
      </c>
      <c r="F64" s="18" t="n">
        <v>-1.25</v>
      </c>
      <c r="G64" s="18" t="n">
        <v>-0.93</v>
      </c>
      <c r="H64" s="18" t="n">
        <v>0</v>
      </c>
      <c r="I64" s="18" t="n">
        <v>0.7</v>
      </c>
      <c r="J64" s="18" t="n">
        <v>0.7</v>
      </c>
      <c r="K64" s="18" t="n">
        <v>3</v>
      </c>
      <c r="L64" s="18" t="n">
        <v>24</v>
      </c>
      <c r="M64" s="18" t="n">
        <v>20260909</v>
      </c>
      <c r="N64" s="18" t="n">
        <v>0</v>
      </c>
      <c r="O64" s="19" t="n">
        <v>0.9795</v>
      </c>
      <c r="P64" s="18" t="s">
        <v>116</v>
      </c>
      <c r="Q64" s="19" t="n">
        <v>0.981</v>
      </c>
      <c r="R64" s="19" t="n">
        <v>0.978</v>
      </c>
      <c r="S64" s="19" t="n">
        <v>0.98</v>
      </c>
      <c r="T64" s="19" t="n">
        <v>0.992</v>
      </c>
      <c r="U64" s="18" t="n">
        <v>5.7</v>
      </c>
      <c r="V64" s="19" t="n">
        <v>0.964</v>
      </c>
      <c r="W64" s="19" t="n">
        <v>0.951</v>
      </c>
      <c r="X64" s="19" t="n">
        <v>0.957</v>
      </c>
      <c r="Y64" s="19" t="n">
        <v>0.984</v>
      </c>
      <c r="Z64" s="18" t="n">
        <v>8.3</v>
      </c>
      <c r="AA64" s="18" t="n">
        <v>48</v>
      </c>
      <c r="AB64" s="18" t="n">
        <v>1</v>
      </c>
      <c r="AC64" s="18" t="n">
        <v>6.97</v>
      </c>
      <c r="AD64" s="18" t="n">
        <v>39.9</v>
      </c>
      <c r="AE64" s="18" t="n">
        <v>6.5</v>
      </c>
      <c r="AF64" s="18" t="n">
        <v>-0.007</v>
      </c>
      <c r="AG64" s="18" t="n">
        <v>0.67</v>
      </c>
      <c r="AH64" s="18" t="n">
        <v>6.9</v>
      </c>
      <c r="AI64" s="18" t="n">
        <v>101</v>
      </c>
      <c r="AJ64" s="18" t="n">
        <v>2125</v>
      </c>
      <c r="AK64" s="18" t="n">
        <v>183</v>
      </c>
      <c r="AL64" s="18" t="n">
        <v>1</v>
      </c>
      <c r="AM64" s="18" t="n">
        <v>8</v>
      </c>
      <c r="AN64" s="20" t="n">
        <v>-0.0439</v>
      </c>
      <c r="AO64" s="20" t="n">
        <v>0.0457</v>
      </c>
      <c r="AP64" s="20" t="n">
        <v>-0.0459</v>
      </c>
      <c r="AQ64" s="20" t="n">
        <v>0.0369</v>
      </c>
      <c r="AR64" s="18" t="n">
        <v>6</v>
      </c>
      <c r="AS64" s="18" t="n">
        <v>12</v>
      </c>
      <c r="AT64" s="18" t="n">
        <v>19</v>
      </c>
      <c r="AU64" s="18" t="n">
        <v>0</v>
      </c>
      <c r="AV64" s="18" t="n">
        <v>117</v>
      </c>
      <c r="AW64" s="18" t="n">
        <v>16</v>
      </c>
      <c r="AX64" s="18" t="n">
        <v>134.2</v>
      </c>
      <c r="AY64" s="18" t="s">
        <v>253</v>
      </c>
    </row>
    <row r="65" customFormat="false" ht="15" hidden="false" customHeight="false" outlineLevel="0" collapsed="false">
      <c r="A65" s="18" t="n">
        <v>64</v>
      </c>
      <c r="B65" s="18" t="s">
        <v>254</v>
      </c>
      <c r="C65" s="18" t="s">
        <v>114</v>
      </c>
      <c r="D65" s="18" t="s">
        <v>255</v>
      </c>
      <c r="E65" s="18" t="n">
        <v>0.7</v>
      </c>
      <c r="F65" s="18" t="n">
        <v>-1.75</v>
      </c>
      <c r="G65" s="18" t="n">
        <v>-0.93</v>
      </c>
      <c r="H65" s="18" t="n">
        <v>0</v>
      </c>
      <c r="I65" s="18" t="n">
        <v>0.7</v>
      </c>
      <c r="J65" s="18" t="n">
        <v>0.6</v>
      </c>
      <c r="K65" s="18" t="n">
        <v>3</v>
      </c>
      <c r="L65" s="18" t="n">
        <v>24</v>
      </c>
      <c r="M65" s="18" t="n">
        <v>20260905</v>
      </c>
      <c r="N65" s="18" t="n">
        <v>0</v>
      </c>
      <c r="O65" s="19" t="n">
        <v>0.9902</v>
      </c>
      <c r="P65" s="18" t="s">
        <v>116</v>
      </c>
      <c r="Q65" s="19" t="n">
        <v>0.99</v>
      </c>
      <c r="R65" s="19" t="n">
        <v>0.991</v>
      </c>
      <c r="S65" s="19" t="n">
        <v>0.99</v>
      </c>
      <c r="T65" s="19" t="n">
        <v>0.996</v>
      </c>
      <c r="U65" s="18" t="n">
        <v>4.8</v>
      </c>
      <c r="V65" s="19" t="n">
        <v>0.966</v>
      </c>
      <c r="W65" s="19" t="n">
        <v>0.978</v>
      </c>
      <c r="X65" s="19" t="n">
        <v>0.972</v>
      </c>
      <c r="Y65" s="19" t="n">
        <v>0.988</v>
      </c>
      <c r="Z65" s="18" t="n">
        <v>8.1</v>
      </c>
      <c r="AA65" s="18" t="n">
        <v>48</v>
      </c>
      <c r="AB65" s="18" t="n">
        <v>1</v>
      </c>
      <c r="AC65" s="18" t="n">
        <v>10.03</v>
      </c>
      <c r="AD65" s="18" t="n">
        <v>47.9</v>
      </c>
      <c r="AE65" s="18" t="n">
        <v>9</v>
      </c>
      <c r="AF65" s="18" t="n">
        <v>0.014</v>
      </c>
      <c r="AG65" s="18" t="n">
        <v>0.58</v>
      </c>
      <c r="AH65" s="18" t="n">
        <v>6.2</v>
      </c>
      <c r="AI65" s="18" t="n">
        <v>129</v>
      </c>
      <c r="AJ65" s="18" t="n">
        <v>1273</v>
      </c>
      <c r="AK65" s="18" t="n">
        <v>220</v>
      </c>
      <c r="AL65" s="18" t="n">
        <v>2</v>
      </c>
      <c r="AM65" s="18" t="n">
        <v>9</v>
      </c>
      <c r="AN65" s="20" t="n">
        <v>-0.0761</v>
      </c>
      <c r="AO65" s="20" t="n">
        <v>0.1167</v>
      </c>
      <c r="AP65" s="20" t="n">
        <v>-0.0733</v>
      </c>
      <c r="AQ65" s="20" t="n">
        <v>0.0898</v>
      </c>
      <c r="AR65" s="18" t="n">
        <v>7</v>
      </c>
      <c r="AS65" s="18" t="n">
        <v>6</v>
      </c>
      <c r="AT65" s="18" t="n">
        <v>12</v>
      </c>
      <c r="AU65" s="18" t="n">
        <v>0</v>
      </c>
      <c r="AV65" s="18" t="n">
        <v>94</v>
      </c>
      <c r="AW65" s="18" t="n">
        <v>16.3</v>
      </c>
      <c r="AX65" s="18" t="n">
        <v>111.8</v>
      </c>
      <c r="AY65" s="18" t="s">
        <v>256</v>
      </c>
    </row>
    <row r="66" customFormat="false" ht="15" hidden="false" customHeight="false" outlineLevel="0" collapsed="false">
      <c r="A66" s="18" t="n">
        <v>65</v>
      </c>
      <c r="B66" s="18" t="s">
        <v>257</v>
      </c>
      <c r="C66" s="18" t="s">
        <v>114</v>
      </c>
      <c r="D66" s="18" t="s">
        <v>258</v>
      </c>
      <c r="E66" s="18" t="n">
        <v>0.75</v>
      </c>
      <c r="F66" s="18" t="n">
        <v>-1.5</v>
      </c>
      <c r="G66" s="18" t="n">
        <v>-0.93</v>
      </c>
      <c r="H66" s="18" t="n">
        <v>0</v>
      </c>
      <c r="I66" s="18" t="n">
        <v>0.8</v>
      </c>
      <c r="J66" s="18" t="n">
        <v>0.6</v>
      </c>
      <c r="K66" s="18" t="n">
        <v>3</v>
      </c>
      <c r="L66" s="18" t="n">
        <v>24</v>
      </c>
      <c r="M66" s="18" t="n">
        <v>20260905</v>
      </c>
      <c r="N66" s="18" t="n">
        <v>0</v>
      </c>
      <c r="O66" s="19" t="n">
        <v>0.9844</v>
      </c>
      <c r="P66" s="18" t="s">
        <v>116</v>
      </c>
      <c r="Q66" s="19" t="n">
        <v>0.988</v>
      </c>
      <c r="R66" s="19" t="n">
        <v>0.98</v>
      </c>
      <c r="S66" s="19" t="n">
        <v>0.984</v>
      </c>
      <c r="T66" s="19" t="n">
        <v>0.993</v>
      </c>
      <c r="U66" s="18" t="n">
        <v>6.2</v>
      </c>
      <c r="V66" s="19" t="n">
        <v>0.986</v>
      </c>
      <c r="W66" s="19" t="n">
        <v>0.956</v>
      </c>
      <c r="X66" s="19" t="n">
        <v>0.971</v>
      </c>
      <c r="Y66" s="19" t="n">
        <v>0.987</v>
      </c>
      <c r="Z66" s="18" t="n">
        <v>8.6</v>
      </c>
      <c r="AA66" s="18" t="n">
        <v>48</v>
      </c>
      <c r="AB66" s="18" t="n">
        <v>1</v>
      </c>
      <c r="AC66" s="18" t="n">
        <v>8.4</v>
      </c>
      <c r="AD66" s="18" t="n">
        <v>52.5</v>
      </c>
      <c r="AE66" s="18" t="n">
        <v>9.4</v>
      </c>
      <c r="AF66" s="18" t="n">
        <v>0</v>
      </c>
      <c r="AG66" s="18" t="n">
        <v>0.54</v>
      </c>
      <c r="AH66" s="18" t="n">
        <v>5.4</v>
      </c>
      <c r="AI66" s="18" t="n">
        <v>142</v>
      </c>
      <c r="AJ66" s="18" t="n">
        <v>1710</v>
      </c>
      <c r="AK66" s="18" t="n">
        <v>210</v>
      </c>
      <c r="AL66" s="18" t="n">
        <v>10</v>
      </c>
      <c r="AM66" s="18" t="n">
        <v>9</v>
      </c>
      <c r="AN66" s="20" t="n">
        <v>-0.055</v>
      </c>
      <c r="AO66" s="20" t="n">
        <v>0.07</v>
      </c>
      <c r="AP66" s="20" t="n">
        <v>-0.0744</v>
      </c>
      <c r="AQ66" s="20" t="n">
        <v>0.0624</v>
      </c>
      <c r="AR66" s="18" t="n">
        <v>9</v>
      </c>
      <c r="AS66" s="18" t="n">
        <v>7</v>
      </c>
      <c r="AT66" s="18" t="n">
        <v>23</v>
      </c>
      <c r="AU66" s="18" t="n">
        <v>0</v>
      </c>
      <c r="AV66" s="18" t="n">
        <v>143</v>
      </c>
      <c r="AW66" s="18" t="n">
        <v>16.3</v>
      </c>
      <c r="AX66" s="18" t="n">
        <v>160</v>
      </c>
      <c r="AY66" s="18" t="s">
        <v>259</v>
      </c>
    </row>
    <row r="67" customFormat="false" ht="15" hidden="false" customHeight="false" outlineLevel="0" collapsed="false">
      <c r="A67" s="18" t="n">
        <v>66</v>
      </c>
      <c r="B67" s="18" t="s">
        <v>260</v>
      </c>
      <c r="C67" s="18" t="s">
        <v>146</v>
      </c>
      <c r="D67" s="18"/>
      <c r="E67" s="18" t="n">
        <v>0.7</v>
      </c>
      <c r="F67" s="18" t="n">
        <v>-1.25</v>
      </c>
      <c r="G67" s="18" t="n">
        <v>-0.93</v>
      </c>
      <c r="H67" s="18" t="n">
        <v>0</v>
      </c>
      <c r="I67" s="18" t="n">
        <v>0.8</v>
      </c>
      <c r="J67" s="18" t="n">
        <v>0.6</v>
      </c>
      <c r="K67" s="18" t="n">
        <v>3</v>
      </c>
      <c r="L67" s="18" t="n">
        <v>24</v>
      </c>
      <c r="M67" s="18" t="n">
        <v>20260907</v>
      </c>
      <c r="N67" s="18" t="n">
        <v>0</v>
      </c>
      <c r="O67" s="19" t="n">
        <v>0.9682</v>
      </c>
      <c r="P67" s="18" t="s">
        <v>174</v>
      </c>
      <c r="Q67" s="19" t="n">
        <v>0.96</v>
      </c>
      <c r="R67" s="19" t="n">
        <v>0.958</v>
      </c>
      <c r="S67" s="19" t="n">
        <v>0.959</v>
      </c>
      <c r="T67" s="19" t="n">
        <v>0.985</v>
      </c>
      <c r="U67" s="18" t="n">
        <v>8.5</v>
      </c>
      <c r="V67" s="19" t="n">
        <v>0.977</v>
      </c>
      <c r="W67" s="19" t="n">
        <v>0.959</v>
      </c>
      <c r="X67" s="19" t="n">
        <v>0.968</v>
      </c>
      <c r="Y67" s="19" t="n">
        <v>0.988</v>
      </c>
      <c r="Z67" s="18" t="n">
        <v>7.4</v>
      </c>
      <c r="AA67" s="18" t="n">
        <v>48</v>
      </c>
      <c r="AB67" s="18" t="n">
        <v>1</v>
      </c>
      <c r="AC67" s="18" t="n">
        <v>5.08</v>
      </c>
      <c r="AD67" s="18" t="n">
        <v>43.1</v>
      </c>
      <c r="AE67" s="18" t="n">
        <v>9.1</v>
      </c>
      <c r="AF67" s="18" t="n">
        <v>-0.013</v>
      </c>
      <c r="AG67" s="18" t="n">
        <v>0.5</v>
      </c>
      <c r="AH67" s="18" t="n">
        <v>8.5</v>
      </c>
      <c r="AI67" s="18" t="n">
        <v>128</v>
      </c>
      <c r="AJ67" s="18" t="n">
        <v>2096</v>
      </c>
      <c r="AK67" s="18" t="n">
        <v>190</v>
      </c>
      <c r="AL67" s="18" t="n">
        <v>9</v>
      </c>
      <c r="AM67" s="18" t="n">
        <v>15</v>
      </c>
      <c r="AN67" s="20" t="n">
        <v>-0.0415</v>
      </c>
      <c r="AO67" s="20" t="n">
        <v>0.0579</v>
      </c>
      <c r="AP67" s="20" t="n">
        <v>-0.0562</v>
      </c>
      <c r="AQ67" s="20" t="n">
        <v>0.0357</v>
      </c>
      <c r="AR67" s="18" t="n">
        <v>10</v>
      </c>
      <c r="AS67" s="18" t="n">
        <v>8</v>
      </c>
      <c r="AT67" s="18" t="n">
        <v>8</v>
      </c>
      <c r="AU67" s="18" t="n">
        <v>0</v>
      </c>
      <c r="AV67" s="18" t="n">
        <v>122</v>
      </c>
      <c r="AW67" s="18" t="n">
        <v>16.4</v>
      </c>
      <c r="AX67" s="18" t="n">
        <v>139.5</v>
      </c>
      <c r="AY67" s="18" t="s">
        <v>261</v>
      </c>
    </row>
    <row r="68" customFormat="false" ht="15" hidden="false" customHeight="false" outlineLevel="0" collapsed="false">
      <c r="A68" s="18" t="n">
        <v>67</v>
      </c>
      <c r="B68" s="18" t="s">
        <v>262</v>
      </c>
      <c r="C68" s="18" t="s">
        <v>146</v>
      </c>
      <c r="D68" s="18"/>
      <c r="E68" s="18" t="n">
        <v>0.75</v>
      </c>
      <c r="F68" s="18" t="n">
        <v>-1.25</v>
      </c>
      <c r="G68" s="18" t="n">
        <v>-0.93</v>
      </c>
      <c r="H68" s="18" t="n">
        <v>0</v>
      </c>
      <c r="I68" s="18" t="n">
        <v>0.7</v>
      </c>
      <c r="J68" s="18" t="n">
        <v>0.6</v>
      </c>
      <c r="K68" s="18" t="n">
        <v>3</v>
      </c>
      <c r="L68" s="18" t="n">
        <v>24</v>
      </c>
      <c r="M68" s="18" t="n">
        <v>20260907</v>
      </c>
      <c r="N68" s="18" t="n">
        <v>0</v>
      </c>
      <c r="O68" s="19" t="n">
        <v>0.9837</v>
      </c>
      <c r="P68" s="18" t="s">
        <v>116</v>
      </c>
      <c r="Q68" s="19" t="n">
        <v>0.974</v>
      </c>
      <c r="R68" s="19" t="n">
        <v>0.993</v>
      </c>
      <c r="S68" s="19" t="n">
        <v>0.984</v>
      </c>
      <c r="T68" s="19" t="n">
        <v>0.993</v>
      </c>
      <c r="U68" s="18" t="n">
        <v>5.8</v>
      </c>
      <c r="V68" s="19" t="n">
        <v>0.987</v>
      </c>
      <c r="W68" s="19" t="n">
        <v>0.98</v>
      </c>
      <c r="X68" s="19" t="n">
        <v>0.983</v>
      </c>
      <c r="Y68" s="19" t="n">
        <v>0.993</v>
      </c>
      <c r="Z68" s="18" t="n">
        <v>6</v>
      </c>
      <c r="AA68" s="18" t="n">
        <v>48</v>
      </c>
      <c r="AB68" s="18" t="n">
        <v>1</v>
      </c>
      <c r="AC68" s="18" t="n">
        <v>7.92</v>
      </c>
      <c r="AD68" s="18" t="n">
        <v>46.3</v>
      </c>
      <c r="AE68" s="18" t="n">
        <v>6.5</v>
      </c>
      <c r="AF68" s="18" t="n">
        <v>-0.02</v>
      </c>
      <c r="AG68" s="18" t="n">
        <v>0.71</v>
      </c>
      <c r="AH68" s="18" t="n">
        <v>6.2</v>
      </c>
      <c r="AI68" s="18" t="n">
        <v>128</v>
      </c>
      <c r="AJ68" s="18" t="n">
        <v>2110</v>
      </c>
      <c r="AK68" s="18" t="n">
        <v>181</v>
      </c>
      <c r="AL68" s="18" t="n">
        <v>5</v>
      </c>
      <c r="AM68" s="18" t="n">
        <v>8</v>
      </c>
      <c r="AN68" s="20" t="n">
        <v>-0.0518</v>
      </c>
      <c r="AO68" s="20" t="n">
        <v>0.0492</v>
      </c>
      <c r="AP68" s="20" t="n">
        <v>-0.0451</v>
      </c>
      <c r="AQ68" s="20" t="n">
        <v>0.0386</v>
      </c>
      <c r="AR68" s="18" t="n">
        <v>9</v>
      </c>
      <c r="AS68" s="18" t="n">
        <v>17</v>
      </c>
      <c r="AT68" s="18" t="n">
        <v>14</v>
      </c>
      <c r="AU68" s="18" t="n">
        <v>0</v>
      </c>
      <c r="AV68" s="18" t="n">
        <v>80</v>
      </c>
      <c r="AW68" s="18" t="n">
        <v>16.1</v>
      </c>
      <c r="AX68" s="18" t="n">
        <v>158.2</v>
      </c>
      <c r="AY68" s="18" t="s">
        <v>263</v>
      </c>
    </row>
    <row r="69" customFormat="false" ht="15" hidden="false" customHeight="false" outlineLevel="0" collapsed="false">
      <c r="A69" s="18" t="n">
        <v>68</v>
      </c>
      <c r="B69" s="18" t="s">
        <v>264</v>
      </c>
      <c r="C69" s="18" t="s">
        <v>146</v>
      </c>
      <c r="D69" s="18"/>
      <c r="E69" s="18" t="n">
        <v>0.6</v>
      </c>
      <c r="F69" s="18" t="n">
        <v>-1.25</v>
      </c>
      <c r="G69" s="18" t="n">
        <v>-0.93</v>
      </c>
      <c r="H69" s="18" t="n">
        <v>0</v>
      </c>
      <c r="I69" s="18" t="n">
        <v>0.7</v>
      </c>
      <c r="J69" s="18" t="n">
        <v>0.6</v>
      </c>
      <c r="K69" s="18" t="n">
        <v>3</v>
      </c>
      <c r="L69" s="18" t="n">
        <v>24</v>
      </c>
      <c r="M69" s="18" t="n">
        <v>20260907</v>
      </c>
      <c r="N69" s="18" t="n">
        <v>0</v>
      </c>
      <c r="O69" s="19" t="n">
        <v>0.9488</v>
      </c>
      <c r="P69" s="18" t="s">
        <v>116</v>
      </c>
      <c r="Q69" s="19" t="n">
        <v>0.943</v>
      </c>
      <c r="R69" s="19" t="n">
        <v>0.955</v>
      </c>
      <c r="S69" s="19" t="n">
        <v>0.949</v>
      </c>
      <c r="T69" s="19" t="n">
        <v>0.988</v>
      </c>
      <c r="U69" s="18" t="n">
        <v>6.6</v>
      </c>
      <c r="V69" s="19" t="n">
        <v>0.911</v>
      </c>
      <c r="W69" s="19" t="n">
        <v>0.874</v>
      </c>
      <c r="X69" s="19" t="n">
        <v>0.893</v>
      </c>
      <c r="Y69" s="19" t="n">
        <v>0.975</v>
      </c>
      <c r="Z69" s="18" t="n">
        <v>9.5</v>
      </c>
      <c r="AA69" s="18" t="n">
        <v>48</v>
      </c>
      <c r="AB69" s="18" t="n">
        <v>1</v>
      </c>
      <c r="AC69" s="18" t="n">
        <v>4.87</v>
      </c>
      <c r="AD69" s="18" t="n">
        <v>31.9</v>
      </c>
      <c r="AE69" s="18" t="n">
        <v>8.6</v>
      </c>
      <c r="AF69" s="18" t="n">
        <v>-0.027</v>
      </c>
      <c r="AG69" s="18" t="n">
        <v>0.62</v>
      </c>
      <c r="AH69" s="18" t="n">
        <v>5.1</v>
      </c>
      <c r="AI69" s="18" t="n">
        <v>119</v>
      </c>
      <c r="AJ69" s="18" t="n">
        <v>2111</v>
      </c>
      <c r="AK69" s="18" t="n">
        <v>194</v>
      </c>
      <c r="AL69" s="18" t="n">
        <v>1</v>
      </c>
      <c r="AM69" s="18" t="n">
        <v>18</v>
      </c>
      <c r="AN69" s="20" t="n">
        <v>-0.0374</v>
      </c>
      <c r="AO69" s="20" t="n">
        <v>0.056</v>
      </c>
      <c r="AP69" s="20" t="n">
        <v>-0.0382</v>
      </c>
      <c r="AQ69" s="20" t="n">
        <v>0.0395</v>
      </c>
      <c r="AR69" s="18" t="n">
        <v>9</v>
      </c>
      <c r="AS69" s="18" t="n">
        <v>8</v>
      </c>
      <c r="AT69" s="18" t="n">
        <v>10</v>
      </c>
      <c r="AU69" s="18" t="n">
        <v>0</v>
      </c>
      <c r="AV69" s="18" t="n">
        <v>114</v>
      </c>
      <c r="AW69" s="18" t="n">
        <v>15.1</v>
      </c>
      <c r="AX69" s="18" t="n">
        <v>130</v>
      </c>
      <c r="AY69" s="18" t="s">
        <v>265</v>
      </c>
    </row>
    <row r="70" customFormat="false" ht="15" hidden="false" customHeight="false" outlineLevel="0" collapsed="false">
      <c r="A70" s="18" t="n">
        <v>69</v>
      </c>
      <c r="B70" s="18" t="s">
        <v>266</v>
      </c>
      <c r="C70" s="18" t="s">
        <v>267</v>
      </c>
      <c r="D70" s="18"/>
      <c r="E70" s="18" t="n">
        <v>0.7</v>
      </c>
      <c r="F70" s="18" t="n">
        <v>-1.5</v>
      </c>
      <c r="G70" s="18" t="n">
        <v>-0.93</v>
      </c>
      <c r="H70" s="18" t="n">
        <v>0</v>
      </c>
      <c r="I70" s="18" t="n">
        <v>0.8</v>
      </c>
      <c r="J70" s="18" t="n">
        <v>0.6</v>
      </c>
      <c r="K70" s="18" t="n">
        <v>3</v>
      </c>
      <c r="L70" s="18" t="n">
        <v>24</v>
      </c>
      <c r="M70" s="18" t="n">
        <v>20260905</v>
      </c>
      <c r="N70" s="18" t="n">
        <v>0</v>
      </c>
      <c r="O70" s="19" t="n">
        <v>0.985</v>
      </c>
      <c r="P70" s="18" t="s">
        <v>116</v>
      </c>
      <c r="Q70" s="19" t="n">
        <v>0.989</v>
      </c>
      <c r="R70" s="19" t="n">
        <v>0.981</v>
      </c>
      <c r="S70" s="19" t="n">
        <v>0.985</v>
      </c>
      <c r="T70" s="19" t="n">
        <v>0.994</v>
      </c>
      <c r="U70" s="18" t="n">
        <v>5.4</v>
      </c>
      <c r="V70" s="19" t="n">
        <v>0.98</v>
      </c>
      <c r="W70" s="19" t="n">
        <v>0.962</v>
      </c>
      <c r="X70" s="19" t="n">
        <v>0.971</v>
      </c>
      <c r="Y70" s="19" t="n">
        <v>0.989</v>
      </c>
      <c r="Z70" s="18" t="n">
        <v>7.5</v>
      </c>
      <c r="AA70" s="18" t="n">
        <v>48</v>
      </c>
      <c r="AB70" s="18" t="n">
        <v>1</v>
      </c>
      <c r="AC70" s="18" t="n">
        <v>8.18</v>
      </c>
      <c r="AD70" s="18" t="n">
        <v>44.3</v>
      </c>
      <c r="AE70" s="18" t="n">
        <v>8.4</v>
      </c>
      <c r="AF70" s="18" t="n">
        <v>0.012</v>
      </c>
      <c r="AG70" s="18" t="n">
        <v>0.62</v>
      </c>
      <c r="AH70" s="18" t="n">
        <v>5.2</v>
      </c>
      <c r="AI70" s="18" t="n">
        <v>155</v>
      </c>
      <c r="AJ70" s="18" t="n">
        <v>1714</v>
      </c>
      <c r="AK70" s="18" t="n">
        <v>206</v>
      </c>
      <c r="AL70" s="18" t="n">
        <v>3</v>
      </c>
      <c r="AM70" s="18" t="n">
        <v>8</v>
      </c>
      <c r="AN70" s="20" t="n">
        <v>-0.0613</v>
      </c>
      <c r="AO70" s="20" t="n">
        <v>0.0663</v>
      </c>
      <c r="AP70" s="20" t="n">
        <v>-0.0547</v>
      </c>
      <c r="AQ70" s="20" t="n">
        <v>0.0746</v>
      </c>
      <c r="AR70" s="18" t="n">
        <v>8</v>
      </c>
      <c r="AS70" s="18" t="n">
        <v>8</v>
      </c>
      <c r="AT70" s="18" t="n">
        <v>8</v>
      </c>
      <c r="AU70" s="18" t="n">
        <v>0</v>
      </c>
      <c r="AV70" s="18" t="n">
        <v>147</v>
      </c>
      <c r="AW70" s="18" t="n">
        <v>15.7</v>
      </c>
      <c r="AX70" s="18" t="n">
        <v>163.4</v>
      </c>
      <c r="AY70" s="18" t="s">
        <v>268</v>
      </c>
    </row>
    <row r="71" customFormat="false" ht="15" hidden="false" customHeight="false" outlineLevel="0" collapsed="false">
      <c r="A71" s="18" t="n">
        <v>70</v>
      </c>
      <c r="B71" s="18" t="s">
        <v>269</v>
      </c>
      <c r="C71" s="18" t="s">
        <v>151</v>
      </c>
      <c r="D71" s="18"/>
      <c r="E71" s="18" t="n">
        <v>0.7</v>
      </c>
      <c r="F71" s="18" t="n">
        <v>-1.25</v>
      </c>
      <c r="G71" s="18" t="n">
        <v>-0.93</v>
      </c>
      <c r="H71" s="18" t="n">
        <v>0</v>
      </c>
      <c r="I71" s="18" t="n">
        <v>0.7</v>
      </c>
      <c r="J71" s="18" t="n">
        <v>0.6</v>
      </c>
      <c r="K71" s="18" t="n">
        <v>3</v>
      </c>
      <c r="L71" s="18" t="n">
        <v>24</v>
      </c>
      <c r="M71" s="18" t="n">
        <v>20260912</v>
      </c>
      <c r="N71" s="18" t="n">
        <v>1</v>
      </c>
      <c r="O71" s="19" t="n">
        <v>0.9791</v>
      </c>
      <c r="P71" s="18" t="s">
        <v>116</v>
      </c>
      <c r="Q71" s="19" t="n">
        <v>0.977</v>
      </c>
      <c r="R71" s="19" t="n">
        <v>0.982</v>
      </c>
      <c r="S71" s="19" t="n">
        <v>0.979</v>
      </c>
      <c r="T71" s="19" t="n">
        <v>0.993</v>
      </c>
      <c r="U71" s="18" t="n">
        <v>5.6</v>
      </c>
      <c r="V71" s="19" t="n">
        <v>0.931</v>
      </c>
      <c r="W71" s="19" t="n">
        <v>0.956</v>
      </c>
      <c r="X71" s="19" t="n">
        <v>0.944</v>
      </c>
      <c r="Y71" s="19" t="n">
        <v>0.981</v>
      </c>
      <c r="Z71" s="18" t="n">
        <v>9.1</v>
      </c>
      <c r="AA71" s="18" t="n">
        <v>48</v>
      </c>
      <c r="AB71" s="18" t="n">
        <v>1</v>
      </c>
      <c r="AC71" s="18" t="n">
        <v>6.98</v>
      </c>
      <c r="AD71" s="18" t="n">
        <v>38.9</v>
      </c>
      <c r="AE71" s="18" t="n">
        <v>6.7</v>
      </c>
      <c r="AF71" s="18" t="n">
        <v>0.028</v>
      </c>
      <c r="AG71" s="18" t="n">
        <v>0.46</v>
      </c>
      <c r="AH71" s="18" t="n">
        <v>5.6</v>
      </c>
      <c r="AI71" s="18" t="n">
        <v>127</v>
      </c>
      <c r="AJ71" s="18" t="n">
        <v>2104</v>
      </c>
      <c r="AK71" s="18" t="n">
        <v>186</v>
      </c>
      <c r="AL71" s="18" t="n">
        <v>2</v>
      </c>
      <c r="AM71" s="18" t="n">
        <v>4</v>
      </c>
      <c r="AN71" s="20" t="n">
        <v>-0.0341</v>
      </c>
      <c r="AO71" s="20" t="n">
        <v>0.0433</v>
      </c>
      <c r="AP71" s="20" t="n">
        <v>-0.0411</v>
      </c>
      <c r="AQ71" s="20" t="n">
        <v>0.0366</v>
      </c>
      <c r="AR71" s="18" t="n">
        <v>8</v>
      </c>
      <c r="AS71" s="18" t="n">
        <v>9</v>
      </c>
      <c r="AT71" s="18" t="n">
        <v>7</v>
      </c>
      <c r="AU71" s="18" t="n">
        <v>0</v>
      </c>
      <c r="AV71" s="18" t="n">
        <v>95</v>
      </c>
      <c r="AW71" s="18" t="n">
        <v>15</v>
      </c>
      <c r="AX71" s="18" t="n">
        <v>110.9</v>
      </c>
      <c r="AY71" s="18" t="s">
        <v>270</v>
      </c>
    </row>
    <row r="72" customFormat="false" ht="15" hidden="false" customHeight="false" outlineLevel="0" collapsed="false">
      <c r="A72" s="18" t="n">
        <v>71</v>
      </c>
      <c r="B72" s="18" t="s">
        <v>271</v>
      </c>
      <c r="C72" s="18" t="s">
        <v>267</v>
      </c>
      <c r="D72" s="18"/>
      <c r="E72" s="18" t="n">
        <v>0.75</v>
      </c>
      <c r="F72" s="18" t="n">
        <v>-1.25</v>
      </c>
      <c r="G72" s="18" t="n">
        <v>-0.93</v>
      </c>
      <c r="H72" s="18" t="n">
        <v>0</v>
      </c>
      <c r="I72" s="18" t="n">
        <v>0.7</v>
      </c>
      <c r="J72" s="18" t="n">
        <v>0.7</v>
      </c>
      <c r="K72" s="18" t="n">
        <v>3</v>
      </c>
      <c r="L72" s="18" t="n">
        <v>24</v>
      </c>
      <c r="M72" s="18" t="n">
        <v>20260905</v>
      </c>
      <c r="N72" s="18" t="n">
        <v>0</v>
      </c>
      <c r="O72" s="19" t="n">
        <v>0.9845</v>
      </c>
      <c r="P72" s="18" t="s">
        <v>116</v>
      </c>
      <c r="Q72" s="19" t="n">
        <v>0.989</v>
      </c>
      <c r="R72" s="19" t="n">
        <v>0.98</v>
      </c>
      <c r="S72" s="19" t="n">
        <v>0.985</v>
      </c>
      <c r="T72" s="19" t="n">
        <v>0.993</v>
      </c>
      <c r="U72" s="18" t="n">
        <v>5.5</v>
      </c>
      <c r="V72" s="19" t="n">
        <v>0.962</v>
      </c>
      <c r="W72" s="19" t="n">
        <v>0.969</v>
      </c>
      <c r="X72" s="19" t="n">
        <v>0.965</v>
      </c>
      <c r="Y72" s="19" t="n">
        <v>0.988</v>
      </c>
      <c r="Z72" s="18" t="n">
        <v>6.9</v>
      </c>
      <c r="AA72" s="18" t="n">
        <v>44</v>
      </c>
      <c r="AB72" s="18" t="n">
        <v>0.92</v>
      </c>
      <c r="AC72" s="18" t="n">
        <v>8.36</v>
      </c>
      <c r="AD72" s="18" t="n">
        <v>46.4</v>
      </c>
      <c r="AE72" s="18" t="n">
        <v>6.6</v>
      </c>
      <c r="AF72" s="18" t="n">
        <v>-0.031</v>
      </c>
      <c r="AG72" s="18" t="n">
        <v>0.5</v>
      </c>
      <c r="AH72" s="18" t="n">
        <v>5.8</v>
      </c>
      <c r="AI72" s="18" t="n">
        <v>96</v>
      </c>
      <c r="AJ72" s="18" t="n">
        <v>2112</v>
      </c>
      <c r="AK72" s="18" t="n">
        <v>188</v>
      </c>
      <c r="AL72" s="18" t="n">
        <v>0</v>
      </c>
      <c r="AM72" s="18" t="n">
        <v>5</v>
      </c>
      <c r="AN72" s="20" t="n">
        <v>-0.0529</v>
      </c>
      <c r="AO72" s="20" t="n">
        <v>0.0386</v>
      </c>
      <c r="AP72" s="20" t="n">
        <v>-0.0558</v>
      </c>
      <c r="AQ72" s="20" t="n">
        <v>0.0293</v>
      </c>
      <c r="AR72" s="18" t="n">
        <v>6</v>
      </c>
      <c r="AS72" s="18" t="n">
        <v>8</v>
      </c>
      <c r="AT72" s="18" t="n">
        <v>15</v>
      </c>
      <c r="AU72" s="18" t="n">
        <v>0</v>
      </c>
      <c r="AV72" s="18" t="n">
        <v>114</v>
      </c>
      <c r="AW72" s="18" t="n">
        <v>15.2</v>
      </c>
      <c r="AX72" s="18" t="n">
        <v>130.4</v>
      </c>
      <c r="AY72" s="18" t="s">
        <v>272</v>
      </c>
    </row>
    <row r="73" customFormat="false" ht="15" hidden="false" customHeight="false" outlineLevel="0" collapsed="false">
      <c r="A73" s="18" t="n">
        <v>72</v>
      </c>
      <c r="B73" s="18" t="s">
        <v>273</v>
      </c>
      <c r="C73" s="18" t="s">
        <v>267</v>
      </c>
      <c r="D73" s="18"/>
      <c r="E73" s="18" t="n">
        <v>0.7</v>
      </c>
      <c r="F73" s="18" t="n">
        <v>-1.25</v>
      </c>
      <c r="G73" s="18" t="n">
        <v>-0.93</v>
      </c>
      <c r="H73" s="18" t="n">
        <v>0</v>
      </c>
      <c r="I73" s="18" t="n">
        <v>0.8</v>
      </c>
      <c r="J73" s="18" t="n">
        <v>0.7</v>
      </c>
      <c r="K73" s="18" t="n">
        <v>3</v>
      </c>
      <c r="L73" s="18" t="n">
        <v>24</v>
      </c>
      <c r="M73" s="18" t="n">
        <v>20260905</v>
      </c>
      <c r="N73" s="18" t="n">
        <v>0</v>
      </c>
      <c r="O73" s="19" t="n">
        <v>0.9831</v>
      </c>
      <c r="P73" s="18" t="s">
        <v>116</v>
      </c>
      <c r="Q73" s="19" t="n">
        <v>0.978</v>
      </c>
      <c r="R73" s="19" t="n">
        <v>0.988</v>
      </c>
      <c r="S73" s="19" t="n">
        <v>0.983</v>
      </c>
      <c r="T73" s="19" t="n">
        <v>0.994</v>
      </c>
      <c r="U73" s="18" t="n">
        <v>5.3</v>
      </c>
      <c r="V73" s="19" t="n">
        <v>0.979</v>
      </c>
      <c r="W73" s="19" t="n">
        <v>0.975</v>
      </c>
      <c r="X73" s="19" t="n">
        <v>0.977</v>
      </c>
      <c r="Y73" s="19" t="n">
        <v>0.991</v>
      </c>
      <c r="Z73" s="18" t="n">
        <v>6.2</v>
      </c>
      <c r="AA73" s="18" t="n">
        <v>48</v>
      </c>
      <c r="AB73" s="18" t="n">
        <v>1</v>
      </c>
      <c r="AC73" s="18" t="n">
        <v>7.42</v>
      </c>
      <c r="AD73" s="18" t="n">
        <v>39.5</v>
      </c>
      <c r="AE73" s="18" t="n">
        <v>8</v>
      </c>
      <c r="AF73" s="18" t="n">
        <v>0.003</v>
      </c>
      <c r="AG73" s="18" t="n">
        <v>0.62</v>
      </c>
      <c r="AH73" s="18" t="n">
        <v>5.5</v>
      </c>
      <c r="AI73" s="18" t="n">
        <v>147</v>
      </c>
      <c r="AJ73" s="18" t="n">
        <v>2094</v>
      </c>
      <c r="AK73" s="18" t="n">
        <v>184</v>
      </c>
      <c r="AL73" s="18" t="n">
        <v>2</v>
      </c>
      <c r="AM73" s="18" t="n">
        <v>6</v>
      </c>
      <c r="AN73" s="20" t="n">
        <v>-0.0467</v>
      </c>
      <c r="AO73" s="20" t="n">
        <v>0.0456</v>
      </c>
      <c r="AP73" s="20" t="n">
        <v>-0.0401</v>
      </c>
      <c r="AQ73" s="20" t="n">
        <v>0.0421</v>
      </c>
      <c r="AR73" s="18" t="n">
        <v>8</v>
      </c>
      <c r="AS73" s="18" t="n">
        <v>8</v>
      </c>
      <c r="AT73" s="18" t="n">
        <v>16</v>
      </c>
      <c r="AU73" s="18" t="n">
        <v>0</v>
      </c>
      <c r="AV73" s="18" t="n">
        <v>126</v>
      </c>
      <c r="AW73" s="18" t="n">
        <v>15.9</v>
      </c>
      <c r="AX73" s="18" t="n">
        <v>142.9</v>
      </c>
      <c r="AY73" s="18" t="s">
        <v>274</v>
      </c>
    </row>
    <row r="74" customFormat="false" ht="15" hidden="false" customHeight="false" outlineLevel="0" collapsed="false">
      <c r="A74" s="18" t="n">
        <v>73</v>
      </c>
      <c r="B74" s="18" t="s">
        <v>275</v>
      </c>
      <c r="C74" s="18" t="s">
        <v>267</v>
      </c>
      <c r="D74" s="18"/>
      <c r="E74" s="18" t="n">
        <v>0.75</v>
      </c>
      <c r="F74" s="18" t="n">
        <v>-1.5</v>
      </c>
      <c r="G74" s="18" t="n">
        <v>-0.93</v>
      </c>
      <c r="H74" s="18" t="n">
        <v>0</v>
      </c>
      <c r="I74" s="18" t="n">
        <v>0.7</v>
      </c>
      <c r="J74" s="18" t="n">
        <v>0.6</v>
      </c>
      <c r="K74" s="18" t="n">
        <v>3</v>
      </c>
      <c r="L74" s="18" t="n">
        <v>24</v>
      </c>
      <c r="M74" s="18" t="n">
        <v>20260905</v>
      </c>
      <c r="N74" s="18" t="n">
        <v>0</v>
      </c>
      <c r="O74" s="19" t="n">
        <v>0.9831</v>
      </c>
      <c r="P74" s="18" t="s">
        <v>116</v>
      </c>
      <c r="Q74" s="19" t="n">
        <v>0.984</v>
      </c>
      <c r="R74" s="19" t="n">
        <v>0.982</v>
      </c>
      <c r="S74" s="19" t="n">
        <v>0.983</v>
      </c>
      <c r="T74" s="19" t="n">
        <v>0.993</v>
      </c>
      <c r="U74" s="18" t="n">
        <v>6.5</v>
      </c>
      <c r="V74" s="19" t="n">
        <v>0.974</v>
      </c>
      <c r="W74" s="19" t="n">
        <v>0.976</v>
      </c>
      <c r="X74" s="19" t="n">
        <v>0.975</v>
      </c>
      <c r="Y74" s="19" t="n">
        <v>0.989</v>
      </c>
      <c r="Z74" s="18" t="n">
        <v>8</v>
      </c>
      <c r="AA74" s="18" t="n">
        <v>46</v>
      </c>
      <c r="AB74" s="18" t="n">
        <v>0.96</v>
      </c>
      <c r="AC74" s="18" t="n">
        <v>7.93</v>
      </c>
      <c r="AD74" s="18" t="n">
        <v>51.5</v>
      </c>
      <c r="AE74" s="18" t="n">
        <v>7.7</v>
      </c>
      <c r="AF74" s="18" t="n">
        <v>0.009</v>
      </c>
      <c r="AG74" s="18" t="n">
        <v>0.58</v>
      </c>
      <c r="AH74" s="18" t="n">
        <v>6.4</v>
      </c>
      <c r="AI74" s="18" t="n">
        <v>121</v>
      </c>
      <c r="AJ74" s="18" t="n">
        <v>1756</v>
      </c>
      <c r="AK74" s="18" t="n">
        <v>208</v>
      </c>
      <c r="AL74" s="18" t="n">
        <v>4</v>
      </c>
      <c r="AM74" s="18" t="n">
        <v>11</v>
      </c>
      <c r="AN74" s="20" t="n">
        <v>-0.0579</v>
      </c>
      <c r="AO74" s="20" t="n">
        <v>0.0693</v>
      </c>
      <c r="AP74" s="20" t="n">
        <v>-0.0507</v>
      </c>
      <c r="AQ74" s="20" t="n">
        <v>0.0608</v>
      </c>
      <c r="AR74" s="18" t="n">
        <v>11</v>
      </c>
      <c r="AS74" s="18" t="n">
        <v>20</v>
      </c>
      <c r="AT74" s="18" t="n">
        <v>20</v>
      </c>
      <c r="AU74" s="18" t="n">
        <v>0</v>
      </c>
      <c r="AV74" s="18" t="n">
        <v>95</v>
      </c>
      <c r="AW74" s="18" t="n">
        <v>15.5</v>
      </c>
      <c r="AX74" s="18" t="n">
        <v>111.1</v>
      </c>
      <c r="AY74" s="18" t="s">
        <v>276</v>
      </c>
    </row>
    <row r="75" customFormat="false" ht="15" hidden="false" customHeight="false" outlineLevel="0" collapsed="false">
      <c r="A75" s="18" t="n">
        <v>74</v>
      </c>
      <c r="B75" s="18" t="s">
        <v>277</v>
      </c>
      <c r="C75" s="18" t="s">
        <v>267</v>
      </c>
      <c r="D75" s="18"/>
      <c r="E75" s="18" t="n">
        <v>0.6</v>
      </c>
      <c r="F75" s="18" t="n">
        <v>-1.25</v>
      </c>
      <c r="G75" s="18" t="n">
        <v>-0.93</v>
      </c>
      <c r="H75" s="18" t="n">
        <v>0</v>
      </c>
      <c r="I75" s="18" t="n">
        <v>0.8</v>
      </c>
      <c r="J75" s="18" t="n">
        <v>0.6</v>
      </c>
      <c r="K75" s="18" t="n">
        <v>3</v>
      </c>
      <c r="L75" s="18" t="n">
        <v>24</v>
      </c>
      <c r="M75" s="18" t="n">
        <v>20260905</v>
      </c>
      <c r="N75" s="18" t="n">
        <v>0</v>
      </c>
      <c r="O75" s="19" t="n">
        <v>0.9808</v>
      </c>
      <c r="P75" s="18" t="s">
        <v>116</v>
      </c>
      <c r="Q75" s="19" t="n">
        <v>0.972</v>
      </c>
      <c r="R75" s="19" t="n">
        <v>0.989</v>
      </c>
      <c r="S75" s="19" t="n">
        <v>0.981</v>
      </c>
      <c r="T75" s="19" t="n">
        <v>0.996</v>
      </c>
      <c r="U75" s="18" t="n">
        <v>3.9</v>
      </c>
      <c r="V75" s="19" t="n">
        <v>0.951</v>
      </c>
      <c r="W75" s="19" t="n">
        <v>0.982</v>
      </c>
      <c r="X75" s="19" t="n">
        <v>0.966</v>
      </c>
      <c r="Y75" s="19" t="n">
        <v>0.992</v>
      </c>
      <c r="Z75" s="18" t="n">
        <v>5.2</v>
      </c>
      <c r="AA75" s="18" t="n">
        <v>48</v>
      </c>
      <c r="AB75" s="18" t="n">
        <v>1</v>
      </c>
      <c r="AC75" s="18" t="n">
        <v>7.46</v>
      </c>
      <c r="AD75" s="18" t="n">
        <v>29.3</v>
      </c>
      <c r="AE75" s="18" t="n">
        <v>7.9</v>
      </c>
      <c r="AF75" s="18" t="n">
        <v>-0.003</v>
      </c>
      <c r="AG75" s="18" t="n">
        <v>0.75</v>
      </c>
      <c r="AH75" s="18" t="n">
        <v>4.1</v>
      </c>
      <c r="AI75" s="18" t="n">
        <v>151</v>
      </c>
      <c r="AJ75" s="18" t="n">
        <v>2086</v>
      </c>
      <c r="AK75" s="18" t="n">
        <v>187</v>
      </c>
      <c r="AL75" s="18" t="n">
        <v>4</v>
      </c>
      <c r="AM75" s="18" t="n">
        <v>10</v>
      </c>
      <c r="AN75" s="20" t="n">
        <v>-0.0509</v>
      </c>
      <c r="AO75" s="20" t="n">
        <v>0.0414</v>
      </c>
      <c r="AP75" s="20" t="n">
        <v>-0.0505</v>
      </c>
      <c r="AQ75" s="20" t="n">
        <v>0.0427</v>
      </c>
      <c r="AR75" s="18" t="n">
        <v>8</v>
      </c>
      <c r="AS75" s="18" t="n">
        <v>18</v>
      </c>
      <c r="AT75" s="18" t="n">
        <v>15</v>
      </c>
      <c r="AU75" s="18" t="n">
        <v>0</v>
      </c>
      <c r="AV75" s="18" t="n">
        <v>103</v>
      </c>
      <c r="AW75" s="18" t="n">
        <v>15.8</v>
      </c>
      <c r="AX75" s="18" t="n">
        <v>120</v>
      </c>
      <c r="AY75" s="18" t="s">
        <v>278</v>
      </c>
    </row>
    <row r="76" customFormat="false" ht="15" hidden="false" customHeight="false" outlineLevel="0" collapsed="false">
      <c r="A76" s="18" t="n">
        <v>75</v>
      </c>
      <c r="B76" s="18" t="s">
        <v>279</v>
      </c>
      <c r="C76" s="18" t="s">
        <v>151</v>
      </c>
      <c r="D76" s="18"/>
      <c r="E76" s="18" t="n">
        <v>0.7</v>
      </c>
      <c r="F76" s="18" t="n">
        <v>-1.25</v>
      </c>
      <c r="G76" s="18" t="n">
        <v>-0.93</v>
      </c>
      <c r="H76" s="18" t="n">
        <v>0</v>
      </c>
      <c r="I76" s="18" t="n">
        <v>0.7</v>
      </c>
      <c r="J76" s="18" t="n">
        <v>0.6</v>
      </c>
      <c r="K76" s="18" t="n">
        <v>3</v>
      </c>
      <c r="L76" s="18" t="n">
        <v>24</v>
      </c>
      <c r="M76" s="18" t="n">
        <v>20260913</v>
      </c>
      <c r="N76" s="18" t="n">
        <v>1</v>
      </c>
      <c r="O76" s="19" t="n">
        <v>0.9731</v>
      </c>
      <c r="P76" s="18" t="s">
        <v>116</v>
      </c>
      <c r="Q76" s="19" t="n">
        <v>0.958</v>
      </c>
      <c r="R76" s="19" t="n">
        <v>0.988</v>
      </c>
      <c r="S76" s="19" t="n">
        <v>0.973</v>
      </c>
      <c r="T76" s="19" t="n">
        <v>0.991</v>
      </c>
      <c r="U76" s="18" t="n">
        <v>6.2</v>
      </c>
      <c r="V76" s="19" t="n">
        <v>0.903</v>
      </c>
      <c r="W76" s="19" t="n">
        <v>0.955</v>
      </c>
      <c r="X76" s="19" t="n">
        <v>0.929</v>
      </c>
      <c r="Y76" s="19" t="n">
        <v>0.975</v>
      </c>
      <c r="Z76" s="18" t="n">
        <v>10.2</v>
      </c>
      <c r="AA76" s="18" t="n">
        <v>48</v>
      </c>
      <c r="AB76" s="18" t="n">
        <v>1</v>
      </c>
      <c r="AC76" s="18" t="n">
        <v>6.63</v>
      </c>
      <c r="AD76" s="18" t="n">
        <v>41.4</v>
      </c>
      <c r="AE76" s="18" t="n">
        <v>7.1</v>
      </c>
      <c r="AF76" s="18" t="n">
        <v>-0.011</v>
      </c>
      <c r="AG76" s="18" t="n">
        <v>0.46</v>
      </c>
      <c r="AH76" s="18" t="n">
        <v>6.6</v>
      </c>
      <c r="AI76" s="18" t="n">
        <v>101</v>
      </c>
      <c r="AJ76" s="18" t="n">
        <v>2085</v>
      </c>
      <c r="AK76" s="18" t="n">
        <v>191</v>
      </c>
      <c r="AL76" s="18" t="n">
        <v>3</v>
      </c>
      <c r="AM76" s="18" t="n">
        <v>11</v>
      </c>
      <c r="AN76" s="20" t="n">
        <v>-0.0317</v>
      </c>
      <c r="AO76" s="20" t="n">
        <v>0.0481</v>
      </c>
      <c r="AP76" s="20" t="n">
        <v>-0.0479</v>
      </c>
      <c r="AQ76" s="20" t="n">
        <v>0.0313</v>
      </c>
      <c r="AR76" s="18" t="n">
        <v>10</v>
      </c>
      <c r="AS76" s="18" t="n">
        <v>26</v>
      </c>
      <c r="AT76" s="18" t="n">
        <v>22</v>
      </c>
      <c r="AU76" s="18" t="n">
        <v>0</v>
      </c>
      <c r="AV76" s="18" t="n">
        <v>94</v>
      </c>
      <c r="AW76" s="18" t="n">
        <v>15.8</v>
      </c>
      <c r="AX76" s="18" t="n">
        <v>110.5</v>
      </c>
      <c r="AY76" s="18" t="s">
        <v>280</v>
      </c>
    </row>
    <row r="77" customFormat="false" ht="15" hidden="false" customHeight="false" outlineLevel="0" collapsed="false">
      <c r="A77" s="18" t="n">
        <v>76</v>
      </c>
      <c r="B77" s="18" t="s">
        <v>281</v>
      </c>
      <c r="C77" s="18" t="s">
        <v>267</v>
      </c>
      <c r="D77" s="18"/>
      <c r="E77" s="18" t="n">
        <v>0.6</v>
      </c>
      <c r="F77" s="18" t="n">
        <v>-1.25</v>
      </c>
      <c r="G77" s="18" t="n">
        <v>-0.93</v>
      </c>
      <c r="H77" s="18" t="n">
        <v>0</v>
      </c>
      <c r="I77" s="18" t="n">
        <v>0.7</v>
      </c>
      <c r="J77" s="18" t="n">
        <v>0.7</v>
      </c>
      <c r="K77" s="18" t="n">
        <v>3</v>
      </c>
      <c r="L77" s="18" t="n">
        <v>24</v>
      </c>
      <c r="M77" s="18" t="n">
        <v>20260905</v>
      </c>
      <c r="N77" s="18" t="n">
        <v>0</v>
      </c>
      <c r="O77" s="19" t="n">
        <v>0.9706</v>
      </c>
      <c r="P77" s="18" t="s">
        <v>116</v>
      </c>
      <c r="Q77" s="19" t="n">
        <v>0.978</v>
      </c>
      <c r="R77" s="19" t="n">
        <v>0.964</v>
      </c>
      <c r="S77" s="19" t="n">
        <v>0.971</v>
      </c>
      <c r="T77" s="19" t="n">
        <v>0.993</v>
      </c>
      <c r="U77" s="18" t="n">
        <v>4.8</v>
      </c>
      <c r="V77" s="19" t="n">
        <v>0.957</v>
      </c>
      <c r="W77" s="19" t="n">
        <v>0.959</v>
      </c>
      <c r="X77" s="19" t="n">
        <v>0.958</v>
      </c>
      <c r="Y77" s="19" t="n">
        <v>0.99</v>
      </c>
      <c r="Z77" s="18" t="n">
        <v>5.8</v>
      </c>
      <c r="AA77" s="18" t="n">
        <v>48</v>
      </c>
      <c r="AB77" s="18" t="n">
        <v>1</v>
      </c>
      <c r="AC77" s="18" t="n">
        <v>6.03</v>
      </c>
      <c r="AD77" s="18" t="n">
        <v>29.1</v>
      </c>
      <c r="AE77" s="18" t="n">
        <v>7.2</v>
      </c>
      <c r="AF77" s="18" t="n">
        <v>-0.016</v>
      </c>
      <c r="AG77" s="18" t="n">
        <v>0.5</v>
      </c>
      <c r="AH77" s="18" t="n">
        <v>5.4</v>
      </c>
      <c r="AI77" s="18" t="n">
        <v>104</v>
      </c>
      <c r="AJ77" s="18" t="n">
        <v>2129</v>
      </c>
      <c r="AK77" s="18" t="n">
        <v>184</v>
      </c>
      <c r="AL77" s="18" t="n">
        <v>3</v>
      </c>
      <c r="AM77" s="18" t="n">
        <v>7</v>
      </c>
      <c r="AN77" s="20" t="n">
        <v>-0.0462</v>
      </c>
      <c r="AO77" s="20" t="n">
        <v>0.0474</v>
      </c>
      <c r="AP77" s="20" t="n">
        <v>-0.0537</v>
      </c>
      <c r="AQ77" s="20" t="n">
        <v>0.041</v>
      </c>
      <c r="AR77" s="18" t="n">
        <v>6</v>
      </c>
      <c r="AS77" s="18" t="n">
        <v>7</v>
      </c>
      <c r="AT77" s="18" t="n">
        <v>6</v>
      </c>
      <c r="AU77" s="18" t="n">
        <v>0</v>
      </c>
      <c r="AV77" s="18" t="n">
        <v>128</v>
      </c>
      <c r="AW77" s="18" t="n">
        <v>16.1</v>
      </c>
      <c r="AX77" s="18" t="n">
        <v>206.1</v>
      </c>
      <c r="AY77" s="18" t="s">
        <v>282</v>
      </c>
    </row>
    <row r="78" customFormat="false" ht="15" hidden="false" customHeight="false" outlineLevel="0" collapsed="false">
      <c r="A78" s="18" t="n">
        <v>77</v>
      </c>
      <c r="B78" s="18" t="s">
        <v>283</v>
      </c>
      <c r="C78" s="18" t="s">
        <v>267</v>
      </c>
      <c r="D78" s="18"/>
      <c r="E78" s="18" t="n">
        <v>0.6</v>
      </c>
      <c r="F78" s="18" t="n">
        <v>-1.5</v>
      </c>
      <c r="G78" s="18" t="n">
        <v>-0.93</v>
      </c>
      <c r="H78" s="18" t="n">
        <v>0</v>
      </c>
      <c r="I78" s="18" t="n">
        <v>0.7</v>
      </c>
      <c r="J78" s="18" t="n">
        <v>0.6</v>
      </c>
      <c r="K78" s="18" t="n">
        <v>3</v>
      </c>
      <c r="L78" s="18" t="n">
        <v>24</v>
      </c>
      <c r="M78" s="18" t="n">
        <v>20260905</v>
      </c>
      <c r="N78" s="18" t="n">
        <v>0</v>
      </c>
      <c r="O78" s="19" t="n">
        <v>0.9768</v>
      </c>
      <c r="P78" s="18" t="s">
        <v>116</v>
      </c>
      <c r="Q78" s="19" t="n">
        <v>0.974</v>
      </c>
      <c r="R78" s="19" t="n">
        <v>0.98</v>
      </c>
      <c r="S78" s="19" t="n">
        <v>0.977</v>
      </c>
      <c r="T78" s="19" t="n">
        <v>0.994</v>
      </c>
      <c r="U78" s="18" t="n">
        <v>5.1</v>
      </c>
      <c r="V78" s="19" t="n">
        <v>0.958</v>
      </c>
      <c r="W78" s="19" t="n">
        <v>0.957</v>
      </c>
      <c r="X78" s="19" t="n">
        <v>0.958</v>
      </c>
      <c r="Y78" s="19" t="n">
        <v>0.988</v>
      </c>
      <c r="Z78" s="18" t="n">
        <v>6.9</v>
      </c>
      <c r="AA78" s="18" t="n">
        <v>48</v>
      </c>
      <c r="AB78" s="18" t="n">
        <v>1</v>
      </c>
      <c r="AC78" s="18" t="n">
        <v>6.69</v>
      </c>
      <c r="AD78" s="18" t="n">
        <v>34</v>
      </c>
      <c r="AE78" s="18" t="n">
        <v>7.9</v>
      </c>
      <c r="AF78" s="18" t="n">
        <v>-0.019</v>
      </c>
      <c r="AG78" s="18" t="n">
        <v>0.62</v>
      </c>
      <c r="AH78" s="18" t="n">
        <v>5.1</v>
      </c>
      <c r="AI78" s="18" t="n">
        <v>103</v>
      </c>
      <c r="AJ78" s="18" t="n">
        <v>1778</v>
      </c>
      <c r="AK78" s="18" t="n">
        <v>211</v>
      </c>
      <c r="AL78" s="18" t="n">
        <v>0</v>
      </c>
      <c r="AM78" s="18" t="n">
        <v>5</v>
      </c>
      <c r="AN78" s="20" t="n">
        <v>-0.0693</v>
      </c>
      <c r="AO78" s="20" t="n">
        <v>0.0826</v>
      </c>
      <c r="AP78" s="20" t="n">
        <v>-0.0517</v>
      </c>
      <c r="AQ78" s="20" t="n">
        <v>0.0699</v>
      </c>
      <c r="AR78" s="18" t="n">
        <v>7</v>
      </c>
      <c r="AS78" s="18" t="n">
        <v>21</v>
      </c>
      <c r="AT78" s="18" t="n">
        <v>13</v>
      </c>
      <c r="AU78" s="18" t="n">
        <v>0</v>
      </c>
      <c r="AV78" s="18" t="n">
        <v>130</v>
      </c>
      <c r="AW78" s="18" t="n">
        <v>16.4</v>
      </c>
      <c r="AX78" s="18" t="n">
        <v>146.8</v>
      </c>
      <c r="AY78" s="18" t="s">
        <v>284</v>
      </c>
    </row>
    <row r="79" customFormat="false" ht="15" hidden="false" customHeight="false" outlineLevel="0" collapsed="false">
      <c r="A79" s="18" t="n">
        <v>78</v>
      </c>
      <c r="B79" s="18" t="s">
        <v>285</v>
      </c>
      <c r="C79" s="18" t="s">
        <v>267</v>
      </c>
      <c r="D79" s="18"/>
      <c r="E79" s="18" t="n">
        <v>0.7</v>
      </c>
      <c r="F79" s="18" t="n">
        <v>-1.5</v>
      </c>
      <c r="G79" s="18" t="n">
        <v>-0.93</v>
      </c>
      <c r="H79" s="18" t="n">
        <v>0</v>
      </c>
      <c r="I79" s="18" t="n">
        <v>0.7</v>
      </c>
      <c r="J79" s="18" t="n">
        <v>0.7</v>
      </c>
      <c r="K79" s="18" t="n">
        <v>3</v>
      </c>
      <c r="L79" s="18" t="n">
        <v>24</v>
      </c>
      <c r="M79" s="18" t="n">
        <v>20260905</v>
      </c>
      <c r="N79" s="18" t="n">
        <v>0</v>
      </c>
      <c r="O79" s="19" t="n">
        <v>0.9841</v>
      </c>
      <c r="P79" s="18" t="s">
        <v>116</v>
      </c>
      <c r="Q79" s="19" t="n">
        <v>0.981</v>
      </c>
      <c r="R79" s="19" t="n">
        <v>0.987</v>
      </c>
      <c r="S79" s="19" t="n">
        <v>0.984</v>
      </c>
      <c r="T79" s="19" t="n">
        <v>0.994</v>
      </c>
      <c r="U79" s="18" t="n">
        <v>5.3</v>
      </c>
      <c r="V79" s="19" t="n">
        <v>0.965</v>
      </c>
      <c r="W79" s="19" t="n">
        <v>0.961</v>
      </c>
      <c r="X79" s="19" t="n">
        <v>0.963</v>
      </c>
      <c r="Y79" s="19" t="n">
        <v>0.99</v>
      </c>
      <c r="Z79" s="18" t="n">
        <v>6.8</v>
      </c>
      <c r="AA79" s="18" t="n">
        <v>46</v>
      </c>
      <c r="AB79" s="18" t="n">
        <v>0.96</v>
      </c>
      <c r="AC79" s="18" t="n">
        <v>8.19</v>
      </c>
      <c r="AD79" s="18" t="n">
        <v>43.7</v>
      </c>
      <c r="AE79" s="18" t="n">
        <v>8.4</v>
      </c>
      <c r="AF79" s="18" t="n">
        <v>0.01</v>
      </c>
      <c r="AG79" s="18" t="n">
        <v>0.5</v>
      </c>
      <c r="AH79" s="18" t="n">
        <v>6.4</v>
      </c>
      <c r="AI79" s="18" t="n">
        <v>120</v>
      </c>
      <c r="AJ79" s="18" t="n">
        <v>1750</v>
      </c>
      <c r="AK79" s="18" t="n">
        <v>205</v>
      </c>
      <c r="AL79" s="18" t="n">
        <v>3</v>
      </c>
      <c r="AM79" s="18" t="n">
        <v>4</v>
      </c>
      <c r="AN79" s="20" t="n">
        <v>-0.0631</v>
      </c>
      <c r="AO79" s="20" t="n">
        <v>0.0723</v>
      </c>
      <c r="AP79" s="20" t="n">
        <v>-0.0602</v>
      </c>
      <c r="AQ79" s="20" t="n">
        <v>0.0722</v>
      </c>
      <c r="AR79" s="18" t="n">
        <v>6</v>
      </c>
      <c r="AS79" s="18" t="n">
        <v>16</v>
      </c>
      <c r="AT79" s="18" t="n">
        <v>13</v>
      </c>
      <c r="AU79" s="18" t="n">
        <v>0</v>
      </c>
      <c r="AV79" s="18" t="n">
        <v>93</v>
      </c>
      <c r="AW79" s="18" t="n">
        <v>15.6</v>
      </c>
      <c r="AX79" s="18" t="n">
        <v>109.7</v>
      </c>
      <c r="AY79" s="18" t="s">
        <v>286</v>
      </c>
    </row>
    <row r="80" customFormat="false" ht="15" hidden="false" customHeight="false" outlineLevel="0" collapsed="false">
      <c r="A80" s="18" t="n">
        <v>79</v>
      </c>
      <c r="B80" s="18" t="s">
        <v>287</v>
      </c>
      <c r="C80" s="18" t="s">
        <v>267</v>
      </c>
      <c r="D80" s="18"/>
      <c r="E80" s="18" t="n">
        <v>0.75</v>
      </c>
      <c r="F80" s="18" t="n">
        <v>-1.25</v>
      </c>
      <c r="G80" s="18" t="n">
        <v>-0.93</v>
      </c>
      <c r="H80" s="18" t="n">
        <v>0</v>
      </c>
      <c r="I80" s="18" t="n">
        <v>0.7</v>
      </c>
      <c r="J80" s="18" t="n">
        <v>0.7</v>
      </c>
      <c r="K80" s="18" t="n">
        <v>3</v>
      </c>
      <c r="L80" s="18" t="n">
        <v>24</v>
      </c>
      <c r="M80" s="18" t="n">
        <v>20260906</v>
      </c>
      <c r="N80" s="18" t="n">
        <v>0</v>
      </c>
      <c r="O80" s="19" t="n">
        <v>0.9782</v>
      </c>
      <c r="P80" s="18" t="s">
        <v>116</v>
      </c>
      <c r="Q80" s="19" t="n">
        <v>0.979</v>
      </c>
      <c r="R80" s="19" t="n">
        <v>0.977</v>
      </c>
      <c r="S80" s="19" t="n">
        <v>0.978</v>
      </c>
      <c r="T80" s="19" t="n">
        <v>0.992</v>
      </c>
      <c r="U80" s="18" t="n">
        <v>6.1</v>
      </c>
      <c r="V80" s="19" t="n">
        <v>0.955</v>
      </c>
      <c r="W80" s="19" t="n">
        <v>0.938</v>
      </c>
      <c r="X80" s="19" t="n">
        <v>0.947</v>
      </c>
      <c r="Y80" s="19" t="n">
        <v>0.981</v>
      </c>
      <c r="Z80" s="18" t="n">
        <v>9.3</v>
      </c>
      <c r="AA80" s="18" t="n">
        <v>42</v>
      </c>
      <c r="AB80" s="18" t="n">
        <v>0.88</v>
      </c>
      <c r="AC80" s="18" t="n">
        <v>6.64</v>
      </c>
      <c r="AD80" s="18" t="n">
        <v>40.3</v>
      </c>
      <c r="AE80" s="18" t="n">
        <v>7.9</v>
      </c>
      <c r="AF80" s="18" t="n">
        <v>0.015</v>
      </c>
      <c r="AG80" s="18" t="n">
        <v>0.58</v>
      </c>
      <c r="AH80" s="18" t="n">
        <v>6</v>
      </c>
      <c r="AI80" s="18" t="n">
        <v>112</v>
      </c>
      <c r="AJ80" s="18" t="n">
        <v>2110</v>
      </c>
      <c r="AK80" s="18" t="n">
        <v>186</v>
      </c>
      <c r="AL80" s="18" t="n">
        <v>4</v>
      </c>
      <c r="AM80" s="18" t="n">
        <v>11</v>
      </c>
      <c r="AN80" s="20" t="n">
        <v>-0.0517</v>
      </c>
      <c r="AO80" s="20" t="n">
        <v>0.0651</v>
      </c>
      <c r="AP80" s="20" t="n">
        <v>-0.0363</v>
      </c>
      <c r="AQ80" s="20" t="n">
        <v>0.0342</v>
      </c>
      <c r="AR80" s="18" t="n">
        <v>8</v>
      </c>
      <c r="AS80" s="18" t="n">
        <v>12</v>
      </c>
      <c r="AT80" s="18" t="n">
        <v>16</v>
      </c>
      <c r="AU80" s="18" t="n">
        <v>0</v>
      </c>
      <c r="AV80" s="18" t="n">
        <v>132</v>
      </c>
      <c r="AW80" s="18" t="n">
        <v>15.7</v>
      </c>
      <c r="AX80" s="18" t="n">
        <v>148.9</v>
      </c>
      <c r="AY80" s="18" t="s">
        <v>288</v>
      </c>
    </row>
    <row r="81" customFormat="false" ht="15" hidden="false" customHeight="false" outlineLevel="0" collapsed="false">
      <c r="A81" s="18" t="n">
        <v>80</v>
      </c>
      <c r="B81" s="18" t="s">
        <v>289</v>
      </c>
      <c r="C81" s="18" t="s">
        <v>151</v>
      </c>
      <c r="D81" s="18"/>
      <c r="E81" s="18" t="n">
        <v>0.7</v>
      </c>
      <c r="F81" s="18" t="n">
        <v>-1.25</v>
      </c>
      <c r="G81" s="18" t="n">
        <v>-0.93</v>
      </c>
      <c r="H81" s="18" t="n">
        <v>0</v>
      </c>
      <c r="I81" s="18" t="n">
        <v>0.7</v>
      </c>
      <c r="J81" s="18" t="n">
        <v>0.6</v>
      </c>
      <c r="K81" s="18" t="n">
        <v>3</v>
      </c>
      <c r="L81" s="18" t="n">
        <v>24</v>
      </c>
      <c r="M81" s="18" t="n">
        <v>20260914</v>
      </c>
      <c r="N81" s="18" t="n">
        <v>1</v>
      </c>
      <c r="O81" s="19" t="n">
        <v>0.9797</v>
      </c>
      <c r="P81" s="18" t="s">
        <v>116</v>
      </c>
      <c r="Q81" s="19" t="n">
        <v>0.987</v>
      </c>
      <c r="R81" s="19" t="n">
        <v>0.972</v>
      </c>
      <c r="S81" s="19" t="n">
        <v>0.98</v>
      </c>
      <c r="T81" s="19" t="n">
        <v>0.993</v>
      </c>
      <c r="U81" s="18" t="n">
        <v>5.3</v>
      </c>
      <c r="V81" s="19" t="n">
        <v>0.953</v>
      </c>
      <c r="W81" s="19" t="n">
        <v>0.949</v>
      </c>
      <c r="X81" s="19" t="n">
        <v>0.951</v>
      </c>
      <c r="Y81" s="19" t="n">
        <v>0.984</v>
      </c>
      <c r="Z81" s="18" t="n">
        <v>8.2</v>
      </c>
      <c r="AA81" s="18" t="n">
        <v>48</v>
      </c>
      <c r="AB81" s="18" t="n">
        <v>1</v>
      </c>
      <c r="AC81" s="18" t="n">
        <v>7.11</v>
      </c>
      <c r="AD81" s="18" t="n">
        <v>37.7</v>
      </c>
      <c r="AE81" s="18" t="n">
        <v>8.2</v>
      </c>
      <c r="AF81" s="18" t="n">
        <v>-0.01</v>
      </c>
      <c r="AG81" s="18" t="n">
        <v>0.42</v>
      </c>
      <c r="AH81" s="18" t="n">
        <v>4.6</v>
      </c>
      <c r="AI81" s="18" t="n">
        <v>127</v>
      </c>
      <c r="AJ81" s="18" t="n">
        <v>2105</v>
      </c>
      <c r="AK81" s="18" t="n">
        <v>188</v>
      </c>
      <c r="AL81" s="18" t="n">
        <v>2</v>
      </c>
      <c r="AM81" s="18" t="n">
        <v>6</v>
      </c>
      <c r="AN81" s="20" t="n">
        <v>-0.0516</v>
      </c>
      <c r="AO81" s="20" t="n">
        <v>0.0394</v>
      </c>
      <c r="AP81" s="20" t="n">
        <v>-0.0628</v>
      </c>
      <c r="AQ81" s="20" t="n">
        <v>0.0306</v>
      </c>
      <c r="AR81" s="18" t="n">
        <v>9</v>
      </c>
      <c r="AS81" s="18" t="n">
        <v>14</v>
      </c>
      <c r="AT81" s="18" t="n">
        <v>6</v>
      </c>
      <c r="AU81" s="18" t="n">
        <v>0</v>
      </c>
      <c r="AV81" s="18" t="n">
        <v>117</v>
      </c>
      <c r="AW81" s="18" t="n">
        <v>16.7</v>
      </c>
      <c r="AX81" s="18" t="n">
        <v>195.8</v>
      </c>
      <c r="AY81" s="18" t="s">
        <v>290</v>
      </c>
    </row>
    <row r="82" customFormat="false" ht="15" hidden="false" customHeight="false" outlineLevel="0" collapsed="false">
      <c r="A82" s="18" t="n">
        <v>81</v>
      </c>
      <c r="B82" s="18" t="s">
        <v>291</v>
      </c>
      <c r="C82" s="18" t="s">
        <v>114</v>
      </c>
      <c r="D82" s="18" t="s">
        <v>292</v>
      </c>
      <c r="E82" s="18" t="n">
        <v>0.7</v>
      </c>
      <c r="F82" s="18" t="n">
        <v>-1.75</v>
      </c>
      <c r="G82" s="18" t="n">
        <v>-0.93</v>
      </c>
      <c r="H82" s="18" t="n">
        <v>0</v>
      </c>
      <c r="I82" s="18" t="n">
        <v>0.7</v>
      </c>
      <c r="J82" s="18" t="n">
        <v>0.6</v>
      </c>
      <c r="K82" s="18" t="n">
        <v>3</v>
      </c>
      <c r="L82" s="18" t="n">
        <v>24</v>
      </c>
      <c r="M82" s="18" t="n">
        <v>20260906</v>
      </c>
      <c r="N82" s="18" t="n">
        <v>0</v>
      </c>
      <c r="O82" s="19" t="n">
        <v>0.987</v>
      </c>
      <c r="P82" s="18" t="s">
        <v>116</v>
      </c>
      <c r="Q82" s="19" t="n">
        <v>0.99</v>
      </c>
      <c r="R82" s="19" t="n">
        <v>0.984</v>
      </c>
      <c r="S82" s="19" t="n">
        <v>0.987</v>
      </c>
      <c r="T82" s="19" t="n">
        <v>0.996</v>
      </c>
      <c r="U82" s="18" t="n">
        <v>4.6</v>
      </c>
      <c r="V82" s="19" t="n">
        <v>0.977</v>
      </c>
      <c r="W82" s="19" t="n">
        <v>0.956</v>
      </c>
      <c r="X82" s="19" t="n">
        <v>0.967</v>
      </c>
      <c r="Y82" s="19" t="n">
        <v>0.989</v>
      </c>
      <c r="Z82" s="18" t="n">
        <v>7.4</v>
      </c>
      <c r="AA82" s="18" t="n">
        <v>48</v>
      </c>
      <c r="AB82" s="18" t="n">
        <v>1</v>
      </c>
      <c r="AC82" s="18" t="n">
        <v>9.08</v>
      </c>
      <c r="AD82" s="18" t="n">
        <v>41.9</v>
      </c>
      <c r="AE82" s="18" t="n">
        <v>9.2</v>
      </c>
      <c r="AF82" s="18" t="n">
        <v>-0.003</v>
      </c>
      <c r="AG82" s="18" t="n">
        <v>0.75</v>
      </c>
      <c r="AH82" s="18" t="n">
        <v>4.4</v>
      </c>
      <c r="AI82" s="18" t="n">
        <v>139</v>
      </c>
      <c r="AJ82" s="18" t="n">
        <v>1256</v>
      </c>
      <c r="AK82" s="18" t="n">
        <v>226</v>
      </c>
      <c r="AL82" s="18" t="n">
        <v>1</v>
      </c>
      <c r="AM82" s="18" t="n">
        <v>8</v>
      </c>
      <c r="AN82" s="20" t="n">
        <v>-0.0724</v>
      </c>
      <c r="AO82" s="20" t="n">
        <v>0.1103</v>
      </c>
      <c r="AP82" s="20" t="n">
        <v>-0.0707</v>
      </c>
      <c r="AQ82" s="20" t="n">
        <v>0.0871</v>
      </c>
      <c r="AR82" s="18" t="n">
        <v>8</v>
      </c>
      <c r="AS82" s="18" t="n">
        <v>19</v>
      </c>
      <c r="AT82" s="18" t="n">
        <v>15</v>
      </c>
      <c r="AU82" s="18" t="n">
        <v>0</v>
      </c>
      <c r="AV82" s="18" t="n">
        <v>80</v>
      </c>
      <c r="AW82" s="18" t="n">
        <v>15.9</v>
      </c>
      <c r="AX82" s="18" t="n">
        <v>96.8</v>
      </c>
      <c r="AY82" s="18" t="s">
        <v>293</v>
      </c>
    </row>
    <row r="83" customFormat="false" ht="15" hidden="false" customHeight="false" outlineLevel="0" collapsed="false">
      <c r="A83" s="18" t="n">
        <v>82</v>
      </c>
      <c r="B83" s="18" t="s">
        <v>294</v>
      </c>
      <c r="C83" s="18" t="s">
        <v>114</v>
      </c>
      <c r="D83" s="18" t="s">
        <v>295</v>
      </c>
      <c r="E83" s="18" t="n">
        <v>0.7</v>
      </c>
      <c r="F83" s="18" t="n">
        <v>-2</v>
      </c>
      <c r="G83" s="18" t="n">
        <v>-0.93</v>
      </c>
      <c r="H83" s="18" t="n">
        <v>0</v>
      </c>
      <c r="I83" s="18" t="n">
        <v>0.7</v>
      </c>
      <c r="J83" s="18" t="n">
        <v>0.6</v>
      </c>
      <c r="K83" s="18" t="n">
        <v>3</v>
      </c>
      <c r="L83" s="18" t="n">
        <v>24</v>
      </c>
      <c r="M83" s="18" t="n">
        <v>20260905</v>
      </c>
      <c r="N83" s="18" t="n">
        <v>0</v>
      </c>
      <c r="O83" s="19" t="n">
        <v>0.9836</v>
      </c>
      <c r="P83" s="18" t="s">
        <v>116</v>
      </c>
      <c r="Q83" s="19" t="n">
        <v>0.986</v>
      </c>
      <c r="R83" s="19" t="n">
        <v>0.981</v>
      </c>
      <c r="S83" s="19" t="n">
        <v>0.984</v>
      </c>
      <c r="T83" s="19" t="n">
        <v>0.994</v>
      </c>
      <c r="U83" s="18" t="n">
        <v>6.3</v>
      </c>
      <c r="V83" s="19" t="n">
        <v>0.978</v>
      </c>
      <c r="W83" s="19" t="n">
        <v>0.954</v>
      </c>
      <c r="X83" s="19" t="n">
        <v>0.966</v>
      </c>
      <c r="Y83" s="19" t="n">
        <v>0.987</v>
      </c>
      <c r="Z83" s="18" t="n">
        <v>9.1</v>
      </c>
      <c r="AA83" s="18" t="n">
        <v>48</v>
      </c>
      <c r="AB83" s="18" t="n">
        <v>1</v>
      </c>
      <c r="AC83" s="18" t="n">
        <v>8.15</v>
      </c>
      <c r="AD83" s="18" t="n">
        <v>51.6</v>
      </c>
      <c r="AE83" s="18" t="n">
        <v>9.1</v>
      </c>
      <c r="AF83" s="18" t="n">
        <v>-0.008</v>
      </c>
      <c r="AG83" s="18" t="n">
        <v>0.75</v>
      </c>
      <c r="AH83" s="18" t="n">
        <v>6.4</v>
      </c>
      <c r="AI83" s="18" t="n">
        <v>145</v>
      </c>
      <c r="AJ83" s="18" t="n">
        <v>669</v>
      </c>
      <c r="AK83" s="18" t="n">
        <v>238</v>
      </c>
      <c r="AL83" s="18" t="n">
        <v>1</v>
      </c>
      <c r="AM83" s="18" t="n">
        <v>10</v>
      </c>
      <c r="AN83" s="20" t="n">
        <v>-0.0763</v>
      </c>
      <c r="AO83" s="20" t="n">
        <v>0.1444</v>
      </c>
      <c r="AP83" s="20" t="n">
        <v>-0.0894</v>
      </c>
      <c r="AQ83" s="20" t="n">
        <v>0.1331</v>
      </c>
      <c r="AR83" s="18" t="n">
        <v>8</v>
      </c>
      <c r="AS83" s="18" t="n">
        <v>3</v>
      </c>
      <c r="AT83" s="18" t="n">
        <v>5</v>
      </c>
      <c r="AU83" s="18" t="n">
        <v>0</v>
      </c>
      <c r="AV83" s="18" t="n">
        <v>95</v>
      </c>
      <c r="AW83" s="18" t="n">
        <v>15.4</v>
      </c>
      <c r="AX83" s="18" t="n">
        <v>172.5</v>
      </c>
      <c r="AY83" s="18" t="s">
        <v>296</v>
      </c>
    </row>
    <row r="84" customFormat="false" ht="15" hidden="false" customHeight="false" outlineLevel="0" collapsed="false">
      <c r="A84" s="18" t="n">
        <v>83</v>
      </c>
      <c r="B84" s="18" t="s">
        <v>297</v>
      </c>
      <c r="C84" s="18" t="s">
        <v>114</v>
      </c>
      <c r="D84" s="18" t="s">
        <v>298</v>
      </c>
      <c r="E84" s="18" t="n">
        <v>0.7</v>
      </c>
      <c r="F84" s="18" t="n">
        <v>-1.75</v>
      </c>
      <c r="G84" s="18" t="n">
        <v>-0.93</v>
      </c>
      <c r="H84" s="18" t="n">
        <v>0</v>
      </c>
      <c r="I84" s="18" t="n">
        <v>0.7</v>
      </c>
      <c r="J84" s="18" t="n">
        <v>0.7</v>
      </c>
      <c r="K84" s="18" t="n">
        <v>3</v>
      </c>
      <c r="L84" s="18" t="n">
        <v>24</v>
      </c>
      <c r="M84" s="18" t="n">
        <v>20260905</v>
      </c>
      <c r="N84" s="18" t="n">
        <v>0</v>
      </c>
      <c r="O84" s="19" t="n">
        <v>0.9834</v>
      </c>
      <c r="P84" s="18" t="s">
        <v>116</v>
      </c>
      <c r="Q84" s="19" t="n">
        <v>0.978</v>
      </c>
      <c r="R84" s="19" t="n">
        <v>0.989</v>
      </c>
      <c r="S84" s="19" t="n">
        <v>0.983</v>
      </c>
      <c r="T84" s="19" t="n">
        <v>0.993</v>
      </c>
      <c r="U84" s="18" t="n">
        <v>6.1</v>
      </c>
      <c r="V84" s="19" t="n">
        <v>0.962</v>
      </c>
      <c r="W84" s="19" t="n">
        <v>0.973</v>
      </c>
      <c r="X84" s="19" t="n">
        <v>0.967</v>
      </c>
      <c r="Y84" s="19" t="n">
        <v>0.987</v>
      </c>
      <c r="Z84" s="18" t="n">
        <v>8.6</v>
      </c>
      <c r="AA84" s="18" t="n">
        <v>48</v>
      </c>
      <c r="AB84" s="18" t="n">
        <v>1</v>
      </c>
      <c r="AC84" s="18" t="n">
        <v>7.92</v>
      </c>
      <c r="AD84" s="18" t="n">
        <v>48.4</v>
      </c>
      <c r="AE84" s="18" t="n">
        <v>9.3</v>
      </c>
      <c r="AF84" s="18" t="n">
        <v>-0.01</v>
      </c>
      <c r="AG84" s="18" t="n">
        <v>0.62</v>
      </c>
      <c r="AH84" s="18" t="n">
        <v>6.6</v>
      </c>
      <c r="AI84" s="18" t="n">
        <v>131</v>
      </c>
      <c r="AJ84" s="18" t="n">
        <v>1280</v>
      </c>
      <c r="AK84" s="18" t="n">
        <v>223</v>
      </c>
      <c r="AL84" s="18" t="n">
        <v>1</v>
      </c>
      <c r="AM84" s="18" t="n">
        <v>7</v>
      </c>
      <c r="AN84" s="20" t="n">
        <v>-0.0663</v>
      </c>
      <c r="AO84" s="20" t="n">
        <v>0.1215</v>
      </c>
      <c r="AP84" s="20" t="n">
        <v>-0.0683</v>
      </c>
      <c r="AQ84" s="20" t="n">
        <v>0.0993</v>
      </c>
      <c r="AR84" s="18" t="n">
        <v>6</v>
      </c>
      <c r="AS84" s="18" t="n">
        <v>10</v>
      </c>
      <c r="AT84" s="18" t="n">
        <v>7</v>
      </c>
      <c r="AU84" s="18" t="n">
        <v>0</v>
      </c>
      <c r="AV84" s="18" t="n">
        <v>94</v>
      </c>
      <c r="AW84" s="18" t="n">
        <v>15.9</v>
      </c>
      <c r="AX84" s="18" t="n">
        <v>111.1</v>
      </c>
      <c r="AY84" s="18" t="s">
        <v>299</v>
      </c>
    </row>
    <row r="85" customFormat="false" ht="15" hidden="false" customHeight="false" outlineLevel="0" collapsed="false">
      <c r="A85" s="18" t="n">
        <v>84</v>
      </c>
      <c r="B85" s="18" t="s">
        <v>300</v>
      </c>
      <c r="C85" s="18" t="s">
        <v>114</v>
      </c>
      <c r="D85" s="18" t="s">
        <v>301</v>
      </c>
      <c r="E85" s="18" t="n">
        <v>0.7</v>
      </c>
      <c r="F85" s="18" t="n">
        <v>-1.5</v>
      </c>
      <c r="G85" s="18" t="n">
        <v>-0.93</v>
      </c>
      <c r="H85" s="18" t="n">
        <v>0</v>
      </c>
      <c r="I85" s="18" t="n">
        <v>0.8</v>
      </c>
      <c r="J85" s="18" t="n">
        <v>0.6</v>
      </c>
      <c r="K85" s="18" t="n">
        <v>3</v>
      </c>
      <c r="L85" s="18" t="n">
        <v>24</v>
      </c>
      <c r="M85" s="18" t="n">
        <v>20260906</v>
      </c>
      <c r="N85" s="18" t="n">
        <v>0</v>
      </c>
      <c r="O85" s="19" t="n">
        <v>0.9819</v>
      </c>
      <c r="P85" s="18" t="s">
        <v>116</v>
      </c>
      <c r="Q85" s="19" t="n">
        <v>0.989</v>
      </c>
      <c r="R85" s="19" t="n">
        <v>0.975</v>
      </c>
      <c r="S85" s="19" t="n">
        <v>0.982</v>
      </c>
      <c r="T85" s="19" t="n">
        <v>0.994</v>
      </c>
      <c r="U85" s="18" t="n">
        <v>5.1</v>
      </c>
      <c r="V85" s="19" t="n">
        <v>0.965</v>
      </c>
      <c r="W85" s="19" t="n">
        <v>0.939</v>
      </c>
      <c r="X85" s="19" t="n">
        <v>0.952</v>
      </c>
      <c r="Y85" s="19" t="n">
        <v>0.985</v>
      </c>
      <c r="Z85" s="18" t="n">
        <v>8.2</v>
      </c>
      <c r="AA85" s="18" t="n">
        <v>48</v>
      </c>
      <c r="AB85" s="18" t="n">
        <v>1</v>
      </c>
      <c r="AC85" s="18" t="n">
        <v>7.69</v>
      </c>
      <c r="AD85" s="18" t="n">
        <v>38.9</v>
      </c>
      <c r="AE85" s="18" t="n">
        <v>8.7</v>
      </c>
      <c r="AF85" s="18" t="n">
        <v>-0.023</v>
      </c>
      <c r="AG85" s="18" t="n">
        <v>0.5</v>
      </c>
      <c r="AH85" s="18" t="n">
        <v>5.7</v>
      </c>
      <c r="AI85" s="18" t="n">
        <v>170</v>
      </c>
      <c r="AJ85" s="18" t="n">
        <v>1714</v>
      </c>
      <c r="AK85" s="18" t="n">
        <v>213</v>
      </c>
      <c r="AL85" s="18" t="n">
        <v>0</v>
      </c>
      <c r="AM85" s="18" t="n">
        <v>8</v>
      </c>
      <c r="AN85" s="20" t="n">
        <v>-0.0591</v>
      </c>
      <c r="AO85" s="20" t="n">
        <v>0.0672</v>
      </c>
      <c r="AP85" s="20" t="n">
        <v>-0.0573</v>
      </c>
      <c r="AQ85" s="20" t="n">
        <v>0.0643</v>
      </c>
      <c r="AR85" s="18" t="n">
        <v>10</v>
      </c>
      <c r="AS85" s="18" t="n">
        <v>15</v>
      </c>
      <c r="AT85" s="18" t="n">
        <v>24</v>
      </c>
      <c r="AU85" s="18" t="n">
        <v>0</v>
      </c>
      <c r="AV85" s="18" t="n">
        <v>85</v>
      </c>
      <c r="AW85" s="18" t="n">
        <v>16</v>
      </c>
      <c r="AX85" s="18" t="n">
        <v>102.1</v>
      </c>
      <c r="AY85" s="18" t="s">
        <v>302</v>
      </c>
    </row>
    <row r="86" customFormat="false" ht="15" hidden="false" customHeight="false" outlineLevel="0" collapsed="false">
      <c r="A86" s="18" t="n">
        <v>85</v>
      </c>
      <c r="B86" s="18" t="s">
        <v>303</v>
      </c>
      <c r="C86" s="18" t="s">
        <v>114</v>
      </c>
      <c r="D86" s="18" t="s">
        <v>292</v>
      </c>
      <c r="E86" s="18" t="n">
        <v>0.7</v>
      </c>
      <c r="F86" s="18" t="n">
        <v>-1.75</v>
      </c>
      <c r="G86" s="18" t="n">
        <v>-0.93</v>
      </c>
      <c r="H86" s="18" t="n">
        <v>0</v>
      </c>
      <c r="I86" s="18" t="n">
        <v>0.7</v>
      </c>
      <c r="J86" s="18" t="n">
        <v>0.6</v>
      </c>
      <c r="K86" s="18" t="n">
        <v>3</v>
      </c>
      <c r="L86" s="18" t="n">
        <v>24</v>
      </c>
      <c r="M86" s="18" t="n">
        <v>20260907</v>
      </c>
      <c r="N86" s="18" t="n">
        <v>0</v>
      </c>
      <c r="O86" s="19" t="n">
        <v>0.9822</v>
      </c>
      <c r="P86" s="18" t="s">
        <v>116</v>
      </c>
      <c r="Q86" s="19" t="n">
        <v>0.983</v>
      </c>
      <c r="R86" s="19" t="n">
        <v>0.981</v>
      </c>
      <c r="S86" s="19" t="n">
        <v>0.982</v>
      </c>
      <c r="T86" s="19" t="n">
        <v>0.993</v>
      </c>
      <c r="U86" s="18" t="n">
        <v>6.6</v>
      </c>
      <c r="V86" s="19" t="n">
        <v>0.976</v>
      </c>
      <c r="W86" s="19" t="n">
        <v>0.933</v>
      </c>
      <c r="X86" s="19" t="n">
        <v>0.954</v>
      </c>
      <c r="Y86" s="19" t="n">
        <v>0.982</v>
      </c>
      <c r="Z86" s="18" t="n">
        <v>10.5</v>
      </c>
      <c r="AA86" s="18" t="n">
        <v>48</v>
      </c>
      <c r="AB86" s="18" t="n">
        <v>1</v>
      </c>
      <c r="AC86" s="18" t="n">
        <v>7.57</v>
      </c>
      <c r="AD86" s="18" t="n">
        <v>50.3</v>
      </c>
      <c r="AE86" s="18" t="n">
        <v>8.4</v>
      </c>
      <c r="AF86" s="18" t="n">
        <v>0.012</v>
      </c>
      <c r="AG86" s="18" t="n">
        <v>0.67</v>
      </c>
      <c r="AH86" s="18" t="n">
        <v>7</v>
      </c>
      <c r="AI86" s="18" t="n">
        <v>142</v>
      </c>
      <c r="AJ86" s="18" t="n">
        <v>1258</v>
      </c>
      <c r="AK86" s="18" t="n">
        <v>224</v>
      </c>
      <c r="AL86" s="18" t="n">
        <v>1</v>
      </c>
      <c r="AM86" s="18" t="n">
        <v>10</v>
      </c>
      <c r="AN86" s="20" t="n">
        <v>-0.0893</v>
      </c>
      <c r="AO86" s="20" t="n">
        <v>0.1047</v>
      </c>
      <c r="AP86" s="20" t="n">
        <v>-0.0799</v>
      </c>
      <c r="AQ86" s="20" t="n">
        <v>0.0918</v>
      </c>
      <c r="AR86" s="18" t="n">
        <v>10</v>
      </c>
      <c r="AS86" s="18" t="n">
        <v>8</v>
      </c>
      <c r="AT86" s="18" t="n">
        <v>9</v>
      </c>
      <c r="AU86" s="18" t="n">
        <v>0</v>
      </c>
      <c r="AV86" s="18" t="n">
        <v>95</v>
      </c>
      <c r="AW86" s="18" t="n">
        <v>16.1</v>
      </c>
      <c r="AX86" s="18" t="n">
        <v>296.1</v>
      </c>
      <c r="AY86" s="18" t="s">
        <v>304</v>
      </c>
    </row>
    <row r="87" customFormat="false" ht="15" hidden="false" customHeight="false" outlineLevel="0" collapsed="false">
      <c r="A87" s="18" t="n">
        <v>86</v>
      </c>
      <c r="B87" s="18" t="s">
        <v>305</v>
      </c>
      <c r="C87" s="18" t="s">
        <v>114</v>
      </c>
      <c r="D87" s="18" t="s">
        <v>295</v>
      </c>
      <c r="E87" s="18" t="n">
        <v>0.7</v>
      </c>
      <c r="F87" s="18" t="n">
        <v>-2</v>
      </c>
      <c r="G87" s="18" t="n">
        <v>-0.93</v>
      </c>
      <c r="H87" s="18" t="n">
        <v>0</v>
      </c>
      <c r="I87" s="18" t="n">
        <v>0.7</v>
      </c>
      <c r="J87" s="18" t="n">
        <v>0.6</v>
      </c>
      <c r="K87" s="18" t="n">
        <v>3</v>
      </c>
      <c r="L87" s="18" t="n">
        <v>24</v>
      </c>
      <c r="M87" s="18" t="n">
        <v>20260906</v>
      </c>
      <c r="N87" s="18" t="n">
        <v>0</v>
      </c>
      <c r="O87" s="19" t="n">
        <v>0.9594</v>
      </c>
      <c r="P87" s="18" t="s">
        <v>116</v>
      </c>
      <c r="Q87" s="19" t="n">
        <v>0.944</v>
      </c>
      <c r="R87" s="19" t="n">
        <v>0.975</v>
      </c>
      <c r="S87" s="19" t="n">
        <v>0.959</v>
      </c>
      <c r="T87" s="19" t="n">
        <v>0.987</v>
      </c>
      <c r="U87" s="18" t="n">
        <v>8.6</v>
      </c>
      <c r="V87" s="19" t="n">
        <v>0.927</v>
      </c>
      <c r="W87" s="19" t="n">
        <v>0.961</v>
      </c>
      <c r="X87" s="19" t="n">
        <v>0.944</v>
      </c>
      <c r="Y87" s="19" t="n">
        <v>0.982</v>
      </c>
      <c r="Z87" s="18" t="n">
        <v>10.1</v>
      </c>
      <c r="AA87" s="18" t="n">
        <v>48</v>
      </c>
      <c r="AB87" s="18" t="n">
        <v>1</v>
      </c>
      <c r="AC87" s="18" t="n">
        <v>4.94</v>
      </c>
      <c r="AD87" s="18" t="n">
        <v>42.8</v>
      </c>
      <c r="AE87" s="18" t="n">
        <v>10.8</v>
      </c>
      <c r="AF87" s="18" t="n">
        <v>-0.011</v>
      </c>
      <c r="AG87" s="18" t="n">
        <v>0.58</v>
      </c>
      <c r="AH87" s="18" t="n">
        <v>7.2</v>
      </c>
      <c r="AI87" s="18" t="n">
        <v>150</v>
      </c>
      <c r="AJ87" s="18" t="n">
        <v>677</v>
      </c>
      <c r="AK87" s="18" t="n">
        <v>231</v>
      </c>
      <c r="AL87" s="18" t="n">
        <v>5</v>
      </c>
      <c r="AM87" s="18" t="n">
        <v>16</v>
      </c>
      <c r="AN87" s="20" t="n">
        <v>-0.0873</v>
      </c>
      <c r="AO87" s="20" t="n">
        <v>0.1613</v>
      </c>
      <c r="AP87" s="20" t="n">
        <v>-0.0787</v>
      </c>
      <c r="AQ87" s="20" t="n">
        <v>0.1369</v>
      </c>
      <c r="AR87" s="18" t="n">
        <v>10</v>
      </c>
      <c r="AS87" s="18" t="n">
        <v>12</v>
      </c>
      <c r="AT87" s="18" t="n">
        <v>17</v>
      </c>
      <c r="AU87" s="18" t="n">
        <v>0</v>
      </c>
      <c r="AV87" s="18" t="n">
        <v>130</v>
      </c>
      <c r="AW87" s="18" t="n">
        <v>15.8</v>
      </c>
      <c r="AX87" s="18" t="n">
        <v>147.4</v>
      </c>
      <c r="AY87" s="18" t="s">
        <v>306</v>
      </c>
    </row>
    <row r="88" customFormat="false" ht="15" hidden="false" customHeight="false" outlineLevel="0" collapsed="false">
      <c r="A88" s="18" t="n">
        <v>87</v>
      </c>
      <c r="B88" s="18" t="s">
        <v>307</v>
      </c>
      <c r="C88" s="18" t="s">
        <v>114</v>
      </c>
      <c r="D88" s="18" t="s">
        <v>298</v>
      </c>
      <c r="E88" s="18" t="n">
        <v>0.7</v>
      </c>
      <c r="F88" s="18" t="n">
        <v>-1.75</v>
      </c>
      <c r="G88" s="18" t="n">
        <v>-0.93</v>
      </c>
      <c r="H88" s="18" t="n">
        <v>0</v>
      </c>
      <c r="I88" s="18" t="n">
        <v>0.7</v>
      </c>
      <c r="J88" s="18" t="n">
        <v>0.7</v>
      </c>
      <c r="K88" s="18" t="n">
        <v>3</v>
      </c>
      <c r="L88" s="18" t="n">
        <v>24</v>
      </c>
      <c r="M88" s="18" t="n">
        <v>20260906</v>
      </c>
      <c r="N88" s="18" t="n">
        <v>0</v>
      </c>
      <c r="O88" s="19" t="n">
        <v>0.9807</v>
      </c>
      <c r="P88" s="18" t="s">
        <v>116</v>
      </c>
      <c r="Q88" s="19" t="n">
        <v>0.977</v>
      </c>
      <c r="R88" s="19" t="n">
        <v>0.984</v>
      </c>
      <c r="S88" s="19" t="n">
        <v>0.981</v>
      </c>
      <c r="T88" s="19" t="n">
        <v>0.994</v>
      </c>
      <c r="U88" s="18" t="n">
        <v>5.6</v>
      </c>
      <c r="V88" s="19" t="n">
        <v>0.97</v>
      </c>
      <c r="W88" s="19" t="n">
        <v>0.945</v>
      </c>
      <c r="X88" s="19" t="n">
        <v>0.957</v>
      </c>
      <c r="Y88" s="19" t="n">
        <v>0.987</v>
      </c>
      <c r="Z88" s="18" t="n">
        <v>8.2</v>
      </c>
      <c r="AA88" s="18" t="n">
        <v>48</v>
      </c>
      <c r="AB88" s="18" t="n">
        <v>1</v>
      </c>
      <c r="AC88" s="18" t="n">
        <v>7.41</v>
      </c>
      <c r="AD88" s="18" t="n">
        <v>41.2</v>
      </c>
      <c r="AE88" s="18" t="n">
        <v>9</v>
      </c>
      <c r="AF88" s="18" t="n">
        <v>0.014</v>
      </c>
      <c r="AG88" s="18" t="n">
        <v>0.46</v>
      </c>
      <c r="AH88" s="18" t="n">
        <v>6.2</v>
      </c>
      <c r="AI88" s="18" t="n">
        <v>141</v>
      </c>
      <c r="AJ88" s="18" t="n">
        <v>1276</v>
      </c>
      <c r="AK88" s="18" t="n">
        <v>223</v>
      </c>
      <c r="AL88" s="18" t="n">
        <v>9</v>
      </c>
      <c r="AM88" s="18" t="n">
        <v>11</v>
      </c>
      <c r="AN88" s="20" t="n">
        <v>-0.0664</v>
      </c>
      <c r="AO88" s="20" t="n">
        <v>0.1191</v>
      </c>
      <c r="AP88" s="20" t="n">
        <v>-0.069</v>
      </c>
      <c r="AQ88" s="20" t="n">
        <v>0.107</v>
      </c>
      <c r="AR88" s="18" t="n">
        <v>6</v>
      </c>
      <c r="AS88" s="18" t="n">
        <v>16</v>
      </c>
      <c r="AT88" s="18" t="n">
        <v>12</v>
      </c>
      <c r="AU88" s="18" t="n">
        <v>0</v>
      </c>
      <c r="AV88" s="18" t="n">
        <v>77</v>
      </c>
      <c r="AW88" s="18" t="n">
        <v>15.8</v>
      </c>
      <c r="AX88" s="18" t="n">
        <v>216.3</v>
      </c>
      <c r="AY88" s="18" t="s">
        <v>308</v>
      </c>
    </row>
    <row r="89" customFormat="false" ht="15" hidden="false" customHeight="false" outlineLevel="0" collapsed="false">
      <c r="A89" s="18" t="n">
        <v>88</v>
      </c>
      <c r="B89" s="18" t="s">
        <v>309</v>
      </c>
      <c r="C89" s="18" t="s">
        <v>114</v>
      </c>
      <c r="D89" s="18" t="s">
        <v>301</v>
      </c>
      <c r="E89" s="18" t="n">
        <v>0.7</v>
      </c>
      <c r="F89" s="18" t="n">
        <v>-1.5</v>
      </c>
      <c r="G89" s="18" t="n">
        <v>-0.93</v>
      </c>
      <c r="H89" s="18" t="n">
        <v>0</v>
      </c>
      <c r="I89" s="18" t="n">
        <v>0.8</v>
      </c>
      <c r="J89" s="18" t="n">
        <v>0.6</v>
      </c>
      <c r="K89" s="18" t="n">
        <v>3</v>
      </c>
      <c r="L89" s="18" t="n">
        <v>24</v>
      </c>
      <c r="M89" s="18" t="n">
        <v>20260907</v>
      </c>
      <c r="N89" s="18" t="n">
        <v>0</v>
      </c>
      <c r="O89" s="19" t="n">
        <v>0.9818</v>
      </c>
      <c r="P89" s="18" t="s">
        <v>116</v>
      </c>
      <c r="Q89" s="19" t="n">
        <v>0.979</v>
      </c>
      <c r="R89" s="19" t="n">
        <v>0.985</v>
      </c>
      <c r="S89" s="19" t="n">
        <v>0.982</v>
      </c>
      <c r="T89" s="19" t="n">
        <v>0.993</v>
      </c>
      <c r="U89" s="18" t="n">
        <v>6.1</v>
      </c>
      <c r="V89" s="19" t="n">
        <v>0.927</v>
      </c>
      <c r="W89" s="19" t="n">
        <v>0.973</v>
      </c>
      <c r="X89" s="19" t="n">
        <v>0.95</v>
      </c>
      <c r="Y89" s="19" t="n">
        <v>0.98</v>
      </c>
      <c r="Z89" s="18" t="n">
        <v>10.2</v>
      </c>
      <c r="AA89" s="18" t="n">
        <v>48</v>
      </c>
      <c r="AB89" s="18" t="n">
        <v>1</v>
      </c>
      <c r="AC89" s="18" t="n">
        <v>7.95</v>
      </c>
      <c r="AD89" s="18" t="n">
        <v>48.9</v>
      </c>
      <c r="AE89" s="18" t="n">
        <v>9.2</v>
      </c>
      <c r="AF89" s="18" t="n">
        <v>-0.036</v>
      </c>
      <c r="AG89" s="18" t="n">
        <v>0.58</v>
      </c>
      <c r="AH89" s="18" t="n">
        <v>5.6</v>
      </c>
      <c r="AI89" s="18" t="n">
        <v>155</v>
      </c>
      <c r="AJ89" s="18" t="n">
        <v>1717</v>
      </c>
      <c r="AK89" s="18" t="n">
        <v>215</v>
      </c>
      <c r="AL89" s="18" t="n">
        <v>6</v>
      </c>
      <c r="AM89" s="18" t="n">
        <v>16</v>
      </c>
      <c r="AN89" s="20" t="n">
        <v>-0.0498</v>
      </c>
      <c r="AO89" s="20" t="n">
        <v>0.0883</v>
      </c>
      <c r="AP89" s="20" t="n">
        <v>-0.0592</v>
      </c>
      <c r="AQ89" s="20" t="n">
        <v>0.0556</v>
      </c>
      <c r="AR89" s="18" t="n">
        <v>7</v>
      </c>
      <c r="AS89" s="18" t="n">
        <v>12</v>
      </c>
      <c r="AT89" s="18" t="n">
        <v>19</v>
      </c>
      <c r="AU89" s="18" t="n">
        <v>0</v>
      </c>
      <c r="AV89" s="18" t="n">
        <v>128</v>
      </c>
      <c r="AW89" s="18" t="n">
        <v>15.9</v>
      </c>
      <c r="AX89" s="18" t="n">
        <v>144.6</v>
      </c>
      <c r="AY89" s="18" t="s">
        <v>310</v>
      </c>
    </row>
    <row r="90" customFormat="false" ht="15" hidden="false" customHeight="false" outlineLevel="0" collapsed="false">
      <c r="A90" s="18" t="n">
        <v>89</v>
      </c>
      <c r="B90" s="18" t="s">
        <v>311</v>
      </c>
      <c r="C90" s="18" t="s">
        <v>114</v>
      </c>
      <c r="D90" s="18" t="s">
        <v>292</v>
      </c>
      <c r="E90" s="18" t="n">
        <v>0.7</v>
      </c>
      <c r="F90" s="18" t="n">
        <v>-1.75</v>
      </c>
      <c r="G90" s="18" t="n">
        <v>-0.93</v>
      </c>
      <c r="H90" s="18" t="n">
        <v>0</v>
      </c>
      <c r="I90" s="18" t="n">
        <v>0.7</v>
      </c>
      <c r="J90" s="18" t="n">
        <v>0.6</v>
      </c>
      <c r="K90" s="18" t="n">
        <v>3</v>
      </c>
      <c r="L90" s="18" t="n">
        <v>24</v>
      </c>
      <c r="M90" s="18" t="n">
        <v>20260908</v>
      </c>
      <c r="N90" s="18" t="n">
        <v>0</v>
      </c>
      <c r="O90" s="19" t="n">
        <v>0.9804</v>
      </c>
      <c r="P90" s="18" t="s">
        <v>116</v>
      </c>
      <c r="Q90" s="19" t="n">
        <v>0.982</v>
      </c>
      <c r="R90" s="19" t="n">
        <v>0.979</v>
      </c>
      <c r="S90" s="19" t="n">
        <v>0.98</v>
      </c>
      <c r="T90" s="19" t="n">
        <v>0.995</v>
      </c>
      <c r="U90" s="18" t="n">
        <v>5</v>
      </c>
      <c r="V90" s="19" t="n">
        <v>0.878</v>
      </c>
      <c r="W90" s="19" t="n">
        <v>0.936</v>
      </c>
      <c r="X90" s="19" t="n">
        <v>0.907</v>
      </c>
      <c r="Y90" s="19" t="n">
        <v>0.975</v>
      </c>
      <c r="Z90" s="18" t="n">
        <v>10.8</v>
      </c>
      <c r="AA90" s="18" t="n">
        <v>48</v>
      </c>
      <c r="AB90" s="18" t="n">
        <v>1</v>
      </c>
      <c r="AC90" s="18" t="n">
        <v>7.35</v>
      </c>
      <c r="AD90" s="18" t="n">
        <v>36.5</v>
      </c>
      <c r="AE90" s="18" t="n">
        <v>9.1</v>
      </c>
      <c r="AF90" s="18" t="n">
        <v>0.016</v>
      </c>
      <c r="AG90" s="18" t="n">
        <v>0.38</v>
      </c>
      <c r="AH90" s="18" t="n">
        <v>5.8</v>
      </c>
      <c r="AI90" s="18" t="n">
        <v>145</v>
      </c>
      <c r="AJ90" s="18" t="n">
        <v>1265</v>
      </c>
      <c r="AK90" s="18" t="n">
        <v>226</v>
      </c>
      <c r="AL90" s="18" t="n">
        <v>1</v>
      </c>
      <c r="AM90" s="18" t="n">
        <v>8</v>
      </c>
      <c r="AN90" s="20" t="n">
        <v>-0.074</v>
      </c>
      <c r="AO90" s="20" t="n">
        <v>0.1106</v>
      </c>
      <c r="AP90" s="20" t="n">
        <v>-0.0797</v>
      </c>
      <c r="AQ90" s="20" t="n">
        <v>0.1053</v>
      </c>
      <c r="AR90" s="18" t="n">
        <v>8</v>
      </c>
      <c r="AS90" s="18" t="n">
        <v>13</v>
      </c>
      <c r="AT90" s="18" t="n">
        <v>16</v>
      </c>
      <c r="AU90" s="18" t="n">
        <v>0</v>
      </c>
      <c r="AV90" s="18" t="n">
        <v>96</v>
      </c>
      <c r="AW90" s="18" t="n">
        <v>16.1</v>
      </c>
      <c r="AX90" s="18" t="n">
        <v>113.8</v>
      </c>
      <c r="AY90" s="18" t="s">
        <v>312</v>
      </c>
    </row>
    <row r="91" customFormat="false" ht="15" hidden="false" customHeight="false" outlineLevel="0" collapsed="false">
      <c r="A91" s="18" t="n">
        <v>90</v>
      </c>
      <c r="B91" s="18" t="s">
        <v>313</v>
      </c>
      <c r="C91" s="18" t="s">
        <v>114</v>
      </c>
      <c r="D91" s="18" t="s">
        <v>295</v>
      </c>
      <c r="E91" s="18" t="n">
        <v>0.7</v>
      </c>
      <c r="F91" s="18" t="n">
        <v>-2</v>
      </c>
      <c r="G91" s="18" t="n">
        <v>-0.93</v>
      </c>
      <c r="H91" s="18" t="n">
        <v>0</v>
      </c>
      <c r="I91" s="18" t="n">
        <v>0.7</v>
      </c>
      <c r="J91" s="18" t="n">
        <v>0.6</v>
      </c>
      <c r="K91" s="18" t="n">
        <v>3</v>
      </c>
      <c r="L91" s="18" t="n">
        <v>24</v>
      </c>
      <c r="M91" s="18" t="n">
        <v>20260907</v>
      </c>
      <c r="N91" s="18" t="n">
        <v>0</v>
      </c>
      <c r="O91" s="19" t="n">
        <v>0.9856</v>
      </c>
      <c r="P91" s="18" t="s">
        <v>116</v>
      </c>
      <c r="Q91" s="19" t="n">
        <v>0.984</v>
      </c>
      <c r="R91" s="19" t="n">
        <v>0.987</v>
      </c>
      <c r="S91" s="19" t="n">
        <v>0.986</v>
      </c>
      <c r="T91" s="19" t="n">
        <v>0.994</v>
      </c>
      <c r="U91" s="18" t="n">
        <v>6.2</v>
      </c>
      <c r="V91" s="19" t="n">
        <v>0.927</v>
      </c>
      <c r="W91" s="19" t="n">
        <v>0.973</v>
      </c>
      <c r="X91" s="19" t="n">
        <v>0.95</v>
      </c>
      <c r="Y91" s="19" t="n">
        <v>0.979</v>
      </c>
      <c r="Z91" s="18" t="n">
        <v>11.7</v>
      </c>
      <c r="AA91" s="18" t="n">
        <v>42</v>
      </c>
      <c r="AB91" s="18" t="n">
        <v>0.88</v>
      </c>
      <c r="AC91" s="18" t="n">
        <v>8.7</v>
      </c>
      <c r="AD91" s="18" t="n">
        <v>53.5</v>
      </c>
      <c r="AE91" s="18" t="n">
        <v>11.1</v>
      </c>
      <c r="AF91" s="18" t="n">
        <v>0.018</v>
      </c>
      <c r="AG91" s="18" t="n">
        <v>0.67</v>
      </c>
      <c r="AH91" s="18" t="n">
        <v>6.3</v>
      </c>
      <c r="AI91" s="18" t="n">
        <v>135</v>
      </c>
      <c r="AJ91" s="18" t="n">
        <v>682</v>
      </c>
      <c r="AK91" s="18" t="n">
        <v>240</v>
      </c>
      <c r="AL91" s="18" t="n">
        <v>2</v>
      </c>
      <c r="AM91" s="18" t="n">
        <v>16</v>
      </c>
      <c r="AN91" s="20" t="n">
        <v>-0.0812</v>
      </c>
      <c r="AO91" s="20" t="n">
        <v>0.1568</v>
      </c>
      <c r="AP91" s="20" t="n">
        <v>-0.0751</v>
      </c>
      <c r="AQ91" s="20" t="n">
        <v>0.1451</v>
      </c>
      <c r="AR91" s="18" t="n">
        <v>8</v>
      </c>
      <c r="AS91" s="18" t="n">
        <v>10</v>
      </c>
      <c r="AT91" s="18" t="n">
        <v>6</v>
      </c>
      <c r="AU91" s="18" t="n">
        <v>0</v>
      </c>
      <c r="AV91" s="18" t="n">
        <v>129</v>
      </c>
      <c r="AW91" s="18" t="n">
        <v>16.3</v>
      </c>
      <c r="AX91" s="18" t="n">
        <v>146.4</v>
      </c>
      <c r="AY91" s="18" t="s">
        <v>314</v>
      </c>
    </row>
    <row r="92" customFormat="false" ht="15" hidden="false" customHeight="false" outlineLevel="0" collapsed="false">
      <c r="A92" s="18" t="n">
        <v>91</v>
      </c>
      <c r="B92" s="18" t="s">
        <v>315</v>
      </c>
      <c r="C92" s="18" t="s">
        <v>114</v>
      </c>
      <c r="D92" s="18" t="s">
        <v>316</v>
      </c>
      <c r="E92" s="18" t="n">
        <v>0.75</v>
      </c>
      <c r="F92" s="18" t="n">
        <v>-1.75</v>
      </c>
      <c r="G92" s="18" t="n">
        <v>-0.93</v>
      </c>
      <c r="H92" s="18" t="n">
        <v>0</v>
      </c>
      <c r="I92" s="18" t="n">
        <v>0.8</v>
      </c>
      <c r="J92" s="18" t="n">
        <v>0.6</v>
      </c>
      <c r="K92" s="18" t="n">
        <v>3</v>
      </c>
      <c r="L92" s="18" t="n">
        <v>24</v>
      </c>
      <c r="M92" s="18" t="n">
        <v>20260905</v>
      </c>
      <c r="N92" s="18" t="n">
        <v>0</v>
      </c>
      <c r="O92" s="19" t="n">
        <v>0.9803</v>
      </c>
      <c r="P92" s="18" t="s">
        <v>116</v>
      </c>
      <c r="Q92" s="19" t="n">
        <v>0.983</v>
      </c>
      <c r="R92" s="19" t="n">
        <v>0.977</v>
      </c>
      <c r="S92" s="19" t="n">
        <v>0.98</v>
      </c>
      <c r="T92" s="19" t="n">
        <v>0.99</v>
      </c>
      <c r="U92" s="18" t="n">
        <v>7.9</v>
      </c>
      <c r="V92" s="19" t="n">
        <v>0.981</v>
      </c>
      <c r="W92" s="19" t="n">
        <v>0.969</v>
      </c>
      <c r="X92" s="19" t="n">
        <v>0.975</v>
      </c>
      <c r="Y92" s="19" t="n">
        <v>0.988</v>
      </c>
      <c r="Z92" s="18" t="n">
        <v>8.8</v>
      </c>
      <c r="AA92" s="18" t="n">
        <v>48</v>
      </c>
      <c r="AB92" s="18" t="n">
        <v>1</v>
      </c>
      <c r="AC92" s="18" t="n">
        <v>7.35</v>
      </c>
      <c r="AD92" s="18" t="n">
        <v>57.8</v>
      </c>
      <c r="AE92" s="18" t="n">
        <v>9.7</v>
      </c>
      <c r="AF92" s="18" t="n">
        <v>-0.017</v>
      </c>
      <c r="AG92" s="18" t="n">
        <v>0.62</v>
      </c>
      <c r="AH92" s="18" t="n">
        <v>5.2</v>
      </c>
      <c r="AI92" s="18" t="n">
        <v>174</v>
      </c>
      <c r="AJ92" s="18" t="n">
        <v>1236</v>
      </c>
      <c r="AK92" s="18" t="n">
        <v>230</v>
      </c>
      <c r="AL92" s="18" t="n">
        <v>5</v>
      </c>
      <c r="AM92" s="18" t="n">
        <v>8</v>
      </c>
      <c r="AN92" s="20" t="n">
        <v>-0.0803</v>
      </c>
      <c r="AO92" s="20" t="n">
        <v>0.1123</v>
      </c>
      <c r="AP92" s="20" t="n">
        <v>-0.0596</v>
      </c>
      <c r="AQ92" s="20" t="n">
        <v>0.097</v>
      </c>
      <c r="AR92" s="18" t="n">
        <v>8</v>
      </c>
      <c r="AS92" s="18" t="n">
        <v>13</v>
      </c>
      <c r="AT92" s="18" t="n">
        <v>20</v>
      </c>
      <c r="AU92" s="18" t="n">
        <v>0</v>
      </c>
      <c r="AV92" s="18" t="n">
        <v>147</v>
      </c>
      <c r="AW92" s="18" t="n">
        <v>15.5</v>
      </c>
      <c r="AX92" s="18" t="n">
        <v>163.6</v>
      </c>
      <c r="AY92" s="18" t="s">
        <v>317</v>
      </c>
    </row>
    <row r="93" customFormat="false" ht="15" hidden="false" customHeight="false" outlineLevel="0" collapsed="false">
      <c r="A93" s="18" t="n">
        <v>92</v>
      </c>
      <c r="B93" s="18" t="s">
        <v>318</v>
      </c>
      <c r="C93" s="18" t="s">
        <v>146</v>
      </c>
      <c r="D93" s="18"/>
      <c r="E93" s="18" t="n">
        <v>0.75</v>
      </c>
      <c r="F93" s="18" t="n">
        <v>-1.75</v>
      </c>
      <c r="G93" s="18" t="n">
        <v>-0.93</v>
      </c>
      <c r="H93" s="18" t="n">
        <v>0</v>
      </c>
      <c r="I93" s="18" t="n">
        <v>0.7</v>
      </c>
      <c r="J93" s="18" t="n">
        <v>0.6</v>
      </c>
      <c r="K93" s="18" t="n">
        <v>3</v>
      </c>
      <c r="L93" s="18" t="n">
        <v>24</v>
      </c>
      <c r="M93" s="18" t="n">
        <v>20260905</v>
      </c>
      <c r="N93" s="18" t="n">
        <v>0</v>
      </c>
      <c r="O93" s="19" t="n">
        <v>0.9877</v>
      </c>
      <c r="P93" s="18" t="s">
        <v>116</v>
      </c>
      <c r="Q93" s="19" t="n">
        <v>0.99</v>
      </c>
      <c r="R93" s="19" t="n">
        <v>0.985</v>
      </c>
      <c r="S93" s="19" t="n">
        <v>0.988</v>
      </c>
      <c r="T93" s="19" t="n">
        <v>0.994</v>
      </c>
      <c r="U93" s="18" t="n">
        <v>5.9</v>
      </c>
      <c r="V93" s="19" t="n">
        <v>0.974</v>
      </c>
      <c r="W93" s="19" t="n">
        <v>0.973</v>
      </c>
      <c r="X93" s="19" t="n">
        <v>0.974</v>
      </c>
      <c r="Y93" s="19" t="n">
        <v>0.988</v>
      </c>
      <c r="Z93" s="18" t="n">
        <v>8.7</v>
      </c>
      <c r="AA93" s="18" t="n">
        <v>48</v>
      </c>
      <c r="AB93" s="18" t="n">
        <v>1</v>
      </c>
      <c r="AC93" s="18" t="n">
        <v>9.32</v>
      </c>
      <c r="AD93" s="18" t="n">
        <v>55.5</v>
      </c>
      <c r="AE93" s="18" t="n">
        <v>8.2</v>
      </c>
      <c r="AF93" s="18" t="n">
        <v>0.005</v>
      </c>
      <c r="AG93" s="18" t="n">
        <v>0.42</v>
      </c>
      <c r="AH93" s="18" t="n">
        <v>4.5</v>
      </c>
      <c r="AI93" s="18" t="n">
        <v>146</v>
      </c>
      <c r="AJ93" s="18" t="n">
        <v>1256</v>
      </c>
      <c r="AK93" s="18" t="n">
        <v>224</v>
      </c>
      <c r="AL93" s="18" t="n">
        <v>2</v>
      </c>
      <c r="AM93" s="18" t="n">
        <v>9</v>
      </c>
      <c r="AN93" s="20" t="n">
        <v>-0.0756</v>
      </c>
      <c r="AO93" s="20" t="n">
        <v>0.1099</v>
      </c>
      <c r="AP93" s="20" t="n">
        <v>-0.0679</v>
      </c>
      <c r="AQ93" s="20" t="n">
        <v>0.0984</v>
      </c>
      <c r="AR93" s="18" t="n">
        <v>8</v>
      </c>
      <c r="AS93" s="18" t="n">
        <v>13</v>
      </c>
      <c r="AT93" s="18" t="n">
        <v>6</v>
      </c>
      <c r="AU93" s="18" t="n">
        <v>0</v>
      </c>
      <c r="AV93" s="18" t="n">
        <v>95</v>
      </c>
      <c r="AW93" s="18" t="n">
        <v>15.8</v>
      </c>
      <c r="AX93" s="18" t="n">
        <v>112</v>
      </c>
      <c r="AY93" s="18" t="s">
        <v>319</v>
      </c>
    </row>
    <row r="94" customFormat="false" ht="15" hidden="false" customHeight="false" outlineLevel="0" collapsed="false">
      <c r="A94" s="18" t="n">
        <v>93</v>
      </c>
      <c r="B94" s="18" t="s">
        <v>320</v>
      </c>
      <c r="C94" s="18" t="s">
        <v>146</v>
      </c>
      <c r="D94" s="18"/>
      <c r="E94" s="18" t="n">
        <v>0.7</v>
      </c>
      <c r="F94" s="18" t="n">
        <v>-1.75</v>
      </c>
      <c r="G94" s="18" t="n">
        <v>-0.93</v>
      </c>
      <c r="H94" s="18" t="n">
        <v>0</v>
      </c>
      <c r="I94" s="18" t="n">
        <v>0.8</v>
      </c>
      <c r="J94" s="18" t="n">
        <v>0.6</v>
      </c>
      <c r="K94" s="18" t="n">
        <v>3</v>
      </c>
      <c r="L94" s="18" t="n">
        <v>24</v>
      </c>
      <c r="M94" s="18" t="n">
        <v>20260905</v>
      </c>
      <c r="N94" s="18" t="n">
        <v>0</v>
      </c>
      <c r="O94" s="19" t="n">
        <v>0.9775</v>
      </c>
      <c r="P94" s="18" t="s">
        <v>116</v>
      </c>
      <c r="Q94" s="19" t="n">
        <v>0.973</v>
      </c>
      <c r="R94" s="19" t="n">
        <v>0.982</v>
      </c>
      <c r="S94" s="19" t="n">
        <v>0.977</v>
      </c>
      <c r="T94" s="19" t="n">
        <v>0.991</v>
      </c>
      <c r="U94" s="18" t="n">
        <v>7.3</v>
      </c>
      <c r="V94" s="19" t="n">
        <v>0.973</v>
      </c>
      <c r="W94" s="19" t="n">
        <v>0.962</v>
      </c>
      <c r="X94" s="19" t="n">
        <v>0.968</v>
      </c>
      <c r="Y94" s="19" t="n">
        <v>0.987</v>
      </c>
      <c r="Z94" s="18" t="n">
        <v>8.6</v>
      </c>
      <c r="AA94" s="18" t="n">
        <v>48</v>
      </c>
      <c r="AB94" s="18" t="n">
        <v>1</v>
      </c>
      <c r="AC94" s="18" t="n">
        <v>6.81</v>
      </c>
      <c r="AD94" s="18" t="n">
        <v>49.4</v>
      </c>
      <c r="AE94" s="18" t="n">
        <v>11.3</v>
      </c>
      <c r="AF94" s="18" t="n">
        <v>-0.015</v>
      </c>
      <c r="AG94" s="18" t="n">
        <v>0.62</v>
      </c>
      <c r="AH94" s="18" t="n">
        <v>6.1</v>
      </c>
      <c r="AI94" s="18" t="n">
        <v>182</v>
      </c>
      <c r="AJ94" s="18" t="n">
        <v>1226</v>
      </c>
      <c r="AK94" s="18" t="n">
        <v>226</v>
      </c>
      <c r="AL94" s="18" t="n">
        <v>4</v>
      </c>
      <c r="AM94" s="18" t="n">
        <v>14</v>
      </c>
      <c r="AN94" s="20" t="n">
        <v>-0.074</v>
      </c>
      <c r="AO94" s="20" t="n">
        <v>0.1156</v>
      </c>
      <c r="AP94" s="20" t="n">
        <v>-0.0674</v>
      </c>
      <c r="AQ94" s="20" t="n">
        <v>0.087</v>
      </c>
      <c r="AR94" s="18" t="n">
        <v>13</v>
      </c>
      <c r="AS94" s="18" t="n">
        <v>15</v>
      </c>
      <c r="AT94" s="18" t="n">
        <v>8</v>
      </c>
      <c r="AU94" s="18" t="n">
        <v>0</v>
      </c>
      <c r="AV94" s="18" t="n">
        <v>145</v>
      </c>
      <c r="AW94" s="18" t="n">
        <v>15.9</v>
      </c>
      <c r="AX94" s="18" t="n">
        <v>162.3</v>
      </c>
      <c r="AY94" s="18" t="s">
        <v>321</v>
      </c>
    </row>
    <row r="95" customFormat="false" ht="15" hidden="false" customHeight="false" outlineLevel="0" collapsed="false">
      <c r="A95" s="18" t="n">
        <v>94</v>
      </c>
      <c r="B95" s="18" t="s">
        <v>322</v>
      </c>
      <c r="C95" s="18" t="s">
        <v>146</v>
      </c>
      <c r="D95" s="18"/>
      <c r="E95" s="18" t="n">
        <v>0.7</v>
      </c>
      <c r="F95" s="18" t="n">
        <v>-1.75</v>
      </c>
      <c r="G95" s="18" t="n">
        <v>-0.93</v>
      </c>
      <c r="H95" s="18" t="n">
        <v>0</v>
      </c>
      <c r="I95" s="18" t="n">
        <v>0.8</v>
      </c>
      <c r="J95" s="18" t="n">
        <v>0.6</v>
      </c>
      <c r="K95" s="18" t="n">
        <v>3</v>
      </c>
      <c r="L95" s="18" t="n">
        <v>24</v>
      </c>
      <c r="M95" s="18" t="n">
        <v>20260906</v>
      </c>
      <c r="N95" s="18" t="n">
        <v>0</v>
      </c>
      <c r="O95" s="19" t="n">
        <v>0.9752</v>
      </c>
      <c r="P95" s="18" t="s">
        <v>116</v>
      </c>
      <c r="Q95" s="19" t="n">
        <v>0.971</v>
      </c>
      <c r="R95" s="19" t="n">
        <v>0.979</v>
      </c>
      <c r="S95" s="19" t="n">
        <v>0.975</v>
      </c>
      <c r="T95" s="19" t="n">
        <v>0.992</v>
      </c>
      <c r="U95" s="18" t="n">
        <v>6.3</v>
      </c>
      <c r="V95" s="19" t="n">
        <v>0.958</v>
      </c>
      <c r="W95" s="19" t="n">
        <v>0.891</v>
      </c>
      <c r="X95" s="19" t="n">
        <v>0.924</v>
      </c>
      <c r="Y95" s="19" t="n">
        <v>0.975</v>
      </c>
      <c r="Z95" s="18" t="n">
        <v>11.1</v>
      </c>
      <c r="AA95" s="18" t="n">
        <v>48</v>
      </c>
      <c r="AB95" s="18" t="n">
        <v>1</v>
      </c>
      <c r="AC95" s="18" t="n">
        <v>6.48</v>
      </c>
      <c r="AD95" s="18" t="n">
        <v>41.1</v>
      </c>
      <c r="AE95" s="18" t="n">
        <v>9.8</v>
      </c>
      <c r="AF95" s="18" t="n">
        <v>0.025</v>
      </c>
      <c r="AG95" s="18" t="n">
        <v>0.42</v>
      </c>
      <c r="AH95" s="18" t="n">
        <v>6.2</v>
      </c>
      <c r="AI95" s="18" t="n">
        <v>157</v>
      </c>
      <c r="AJ95" s="18" t="n">
        <v>1260</v>
      </c>
      <c r="AK95" s="18" t="n">
        <v>224</v>
      </c>
      <c r="AL95" s="18" t="n">
        <v>6</v>
      </c>
      <c r="AM95" s="18" t="n">
        <v>10</v>
      </c>
      <c r="AN95" s="20" t="n">
        <v>-0.0735</v>
      </c>
      <c r="AO95" s="20" t="n">
        <v>0.1131</v>
      </c>
      <c r="AP95" s="20" t="n">
        <v>-0.0765</v>
      </c>
      <c r="AQ95" s="20" t="n">
        <v>0.1039</v>
      </c>
      <c r="AR95" s="18" t="n">
        <v>9</v>
      </c>
      <c r="AS95" s="18" t="n">
        <v>8</v>
      </c>
      <c r="AT95" s="18" t="n">
        <v>16</v>
      </c>
      <c r="AU95" s="18" t="n">
        <v>0</v>
      </c>
      <c r="AV95" s="18" t="n">
        <v>122</v>
      </c>
      <c r="AW95" s="18" t="n">
        <v>16.2</v>
      </c>
      <c r="AX95" s="18" t="n">
        <v>261.2</v>
      </c>
      <c r="AY95" s="18" t="s">
        <v>323</v>
      </c>
    </row>
    <row r="96" customFormat="false" ht="15" hidden="false" customHeight="false" outlineLevel="0" collapsed="false">
      <c r="A96" s="18" t="n">
        <v>95</v>
      </c>
      <c r="B96" s="18" t="s">
        <v>324</v>
      </c>
      <c r="C96" s="18" t="s">
        <v>151</v>
      </c>
      <c r="D96" s="18"/>
      <c r="E96" s="18" t="n">
        <v>0.7</v>
      </c>
      <c r="F96" s="18" t="n">
        <v>-1.75</v>
      </c>
      <c r="G96" s="18" t="n">
        <v>-0.93</v>
      </c>
      <c r="H96" s="18" t="n">
        <v>0</v>
      </c>
      <c r="I96" s="18" t="n">
        <v>0.7</v>
      </c>
      <c r="J96" s="18" t="n">
        <v>0.6</v>
      </c>
      <c r="K96" s="18" t="n">
        <v>3</v>
      </c>
      <c r="L96" s="18" t="n">
        <v>24</v>
      </c>
      <c r="M96" s="18" t="n">
        <v>20260909</v>
      </c>
      <c r="N96" s="18" t="n">
        <v>1</v>
      </c>
      <c r="O96" s="19" t="n">
        <v>0.9768</v>
      </c>
      <c r="P96" s="18" t="s">
        <v>116</v>
      </c>
      <c r="Q96" s="19" t="n">
        <v>0.984</v>
      </c>
      <c r="R96" s="19" t="n">
        <v>0.97</v>
      </c>
      <c r="S96" s="19" t="n">
        <v>0.977</v>
      </c>
      <c r="T96" s="19" t="n">
        <v>0.991</v>
      </c>
      <c r="U96" s="18" t="n">
        <v>7</v>
      </c>
      <c r="V96" s="19" t="n">
        <v>0.983</v>
      </c>
      <c r="W96" s="19" t="n">
        <v>0.942</v>
      </c>
      <c r="X96" s="19" t="n">
        <v>0.962</v>
      </c>
      <c r="Y96" s="19" t="n">
        <v>0.986</v>
      </c>
      <c r="Z96" s="18" t="n">
        <v>9</v>
      </c>
      <c r="AA96" s="18" t="n">
        <v>48</v>
      </c>
      <c r="AB96" s="18" t="n">
        <v>1</v>
      </c>
      <c r="AC96" s="18" t="n">
        <v>7.12</v>
      </c>
      <c r="AD96" s="18" t="n">
        <v>50.1</v>
      </c>
      <c r="AE96" s="18" t="n">
        <v>10</v>
      </c>
      <c r="AF96" s="18" t="n">
        <v>-0.019</v>
      </c>
      <c r="AG96" s="18" t="n">
        <v>0.54</v>
      </c>
      <c r="AH96" s="18" t="n">
        <v>6.7</v>
      </c>
      <c r="AI96" s="18" t="n">
        <v>148</v>
      </c>
      <c r="AJ96" s="18" t="n">
        <v>1275</v>
      </c>
      <c r="AK96" s="18" t="n">
        <v>229</v>
      </c>
      <c r="AL96" s="18" t="n">
        <v>1</v>
      </c>
      <c r="AM96" s="18" t="n">
        <v>6</v>
      </c>
      <c r="AN96" s="20" t="n">
        <v>-0.0684</v>
      </c>
      <c r="AO96" s="20" t="n">
        <v>0.1106</v>
      </c>
      <c r="AP96" s="20" t="n">
        <v>-0.0686</v>
      </c>
      <c r="AQ96" s="20" t="n">
        <v>0.0948</v>
      </c>
      <c r="AR96" s="18" t="n">
        <v>8</v>
      </c>
      <c r="AS96" s="18" t="n">
        <v>28</v>
      </c>
      <c r="AT96" s="18" t="n">
        <v>24</v>
      </c>
      <c r="AU96" s="18" t="n">
        <v>0</v>
      </c>
      <c r="AV96" s="18" t="n">
        <v>58</v>
      </c>
      <c r="AW96" s="18" t="n">
        <v>16.3</v>
      </c>
      <c r="AX96" s="18" t="n">
        <v>75.3</v>
      </c>
      <c r="AY96" s="18" t="s">
        <v>325</v>
      </c>
    </row>
    <row r="97" customFormat="false" ht="15" hidden="false" customHeight="false" outlineLevel="0" collapsed="false">
      <c r="A97" s="18" t="n">
        <v>96</v>
      </c>
      <c r="B97" s="18" t="s">
        <v>326</v>
      </c>
      <c r="C97" s="18" t="s">
        <v>146</v>
      </c>
      <c r="D97" s="18"/>
      <c r="E97" s="18" t="n">
        <v>0.75</v>
      </c>
      <c r="F97" s="18" t="n">
        <v>-1.75</v>
      </c>
      <c r="G97" s="18" t="n">
        <v>-0.93</v>
      </c>
      <c r="H97" s="18" t="n">
        <v>0</v>
      </c>
      <c r="I97" s="18" t="n">
        <v>0.7</v>
      </c>
      <c r="J97" s="18" t="n">
        <v>0.6</v>
      </c>
      <c r="K97" s="18" t="n">
        <v>3</v>
      </c>
      <c r="L97" s="18" t="n">
        <v>24</v>
      </c>
      <c r="M97" s="18" t="n">
        <v>20260906</v>
      </c>
      <c r="N97" s="18" t="n">
        <v>0</v>
      </c>
      <c r="O97" s="19" t="n">
        <v>0.9694</v>
      </c>
      <c r="P97" s="18" t="s">
        <v>116</v>
      </c>
      <c r="Q97" s="19" t="n">
        <v>0.973</v>
      </c>
      <c r="R97" s="19" t="n">
        <v>0.966</v>
      </c>
      <c r="S97" s="19" t="n">
        <v>0.969</v>
      </c>
      <c r="T97" s="19" t="n">
        <v>0.988</v>
      </c>
      <c r="U97" s="18" t="n">
        <v>8.1</v>
      </c>
      <c r="V97" s="19" t="n">
        <v>0.948</v>
      </c>
      <c r="W97" s="19" t="n">
        <v>0.98</v>
      </c>
      <c r="X97" s="19" t="n">
        <v>0.964</v>
      </c>
      <c r="Y97" s="19" t="n">
        <v>0.985</v>
      </c>
      <c r="Z97" s="18" t="n">
        <v>9</v>
      </c>
      <c r="AA97" s="18" t="n">
        <v>48</v>
      </c>
      <c r="AB97" s="18" t="n">
        <v>1</v>
      </c>
      <c r="AC97" s="18" t="n">
        <v>6.09</v>
      </c>
      <c r="AD97" s="18" t="n">
        <v>49.6</v>
      </c>
      <c r="AE97" s="18" t="n">
        <v>12.1</v>
      </c>
      <c r="AF97" s="18" t="n">
        <v>-0.03</v>
      </c>
      <c r="AG97" s="18" t="n">
        <v>0.62</v>
      </c>
      <c r="AH97" s="18" t="n">
        <v>8.1</v>
      </c>
      <c r="AI97" s="18" t="n">
        <v>123</v>
      </c>
      <c r="AJ97" s="18" t="n">
        <v>1276</v>
      </c>
      <c r="AK97" s="18" t="n">
        <v>235</v>
      </c>
      <c r="AL97" s="18" t="n">
        <v>4</v>
      </c>
      <c r="AM97" s="18" t="n">
        <v>15</v>
      </c>
      <c r="AN97" s="20" t="n">
        <v>-0.0762</v>
      </c>
      <c r="AO97" s="20" t="n">
        <v>0.1192</v>
      </c>
      <c r="AP97" s="20" t="n">
        <v>-0.0747</v>
      </c>
      <c r="AQ97" s="20" t="n">
        <v>0.1031</v>
      </c>
      <c r="AR97" s="18" t="n">
        <v>8</v>
      </c>
      <c r="AS97" s="18" t="n">
        <v>10</v>
      </c>
      <c r="AT97" s="18" t="n">
        <v>25</v>
      </c>
      <c r="AU97" s="18" t="n">
        <v>0</v>
      </c>
      <c r="AV97" s="18" t="n">
        <v>94</v>
      </c>
      <c r="AW97" s="18" t="n">
        <v>16.9</v>
      </c>
      <c r="AX97" s="18" t="n">
        <v>111.7</v>
      </c>
      <c r="AY97" s="18" t="s">
        <v>327</v>
      </c>
    </row>
    <row r="98" customFormat="false" ht="15" hidden="false" customHeight="false" outlineLevel="0" collapsed="false">
      <c r="A98" s="18" t="n">
        <v>97</v>
      </c>
      <c r="B98" s="18" t="s">
        <v>328</v>
      </c>
      <c r="C98" s="18" t="s">
        <v>146</v>
      </c>
      <c r="D98" s="18"/>
      <c r="E98" s="18" t="n">
        <v>0.75</v>
      </c>
      <c r="F98" s="18" t="n">
        <v>-1.75</v>
      </c>
      <c r="G98" s="18" t="n">
        <v>-0.93</v>
      </c>
      <c r="H98" s="18" t="n">
        <v>0</v>
      </c>
      <c r="I98" s="18" t="n">
        <v>0.7</v>
      </c>
      <c r="J98" s="18" t="n">
        <v>0.6</v>
      </c>
      <c r="K98" s="18" t="n">
        <v>3</v>
      </c>
      <c r="L98" s="18" t="n">
        <v>24</v>
      </c>
      <c r="M98" s="18" t="n">
        <v>20260907</v>
      </c>
      <c r="N98" s="18" t="n">
        <v>0</v>
      </c>
      <c r="O98" s="19" t="n">
        <v>0.9792</v>
      </c>
      <c r="P98" s="18" t="s">
        <v>116</v>
      </c>
      <c r="Q98" s="19" t="n">
        <v>0.972</v>
      </c>
      <c r="R98" s="19" t="n">
        <v>0.986</v>
      </c>
      <c r="S98" s="19" t="n">
        <v>0.979</v>
      </c>
      <c r="T98" s="19" t="n">
        <v>0.99</v>
      </c>
      <c r="U98" s="18" t="n">
        <v>8</v>
      </c>
      <c r="V98" s="19" t="n">
        <v>0.955</v>
      </c>
      <c r="W98" s="19" t="n">
        <v>0.961</v>
      </c>
      <c r="X98" s="19" t="n">
        <v>0.958</v>
      </c>
      <c r="Y98" s="19" t="n">
        <v>0.98</v>
      </c>
      <c r="Z98" s="18" t="n">
        <v>11.3</v>
      </c>
      <c r="AA98" s="18" t="n">
        <v>48</v>
      </c>
      <c r="AB98" s="18" t="n">
        <v>1</v>
      </c>
      <c r="AC98" s="18" t="n">
        <v>7</v>
      </c>
      <c r="AD98" s="18" t="n">
        <v>56.2</v>
      </c>
      <c r="AE98" s="18" t="n">
        <v>8.7</v>
      </c>
      <c r="AF98" s="18" t="n">
        <v>-0.014</v>
      </c>
      <c r="AG98" s="18" t="n">
        <v>0.54</v>
      </c>
      <c r="AH98" s="18" t="n">
        <v>6.6</v>
      </c>
      <c r="AI98" s="18" t="n">
        <v>158</v>
      </c>
      <c r="AJ98" s="18" t="n">
        <v>1240</v>
      </c>
      <c r="AK98" s="18" t="n">
        <v>216</v>
      </c>
      <c r="AL98" s="18" t="n">
        <v>3</v>
      </c>
      <c r="AM98" s="18" t="n">
        <v>11</v>
      </c>
      <c r="AN98" s="20" t="n">
        <v>-0.0687</v>
      </c>
      <c r="AO98" s="20" t="n">
        <v>0.1255</v>
      </c>
      <c r="AP98" s="20" t="n">
        <v>-0.0769</v>
      </c>
      <c r="AQ98" s="20" t="n">
        <v>0.0956</v>
      </c>
      <c r="AR98" s="18" t="n">
        <v>11</v>
      </c>
      <c r="AS98" s="18" t="n">
        <v>25</v>
      </c>
      <c r="AT98" s="18" t="n">
        <v>13</v>
      </c>
      <c r="AU98" s="18" t="n">
        <v>0</v>
      </c>
      <c r="AV98" s="18" t="n">
        <v>139</v>
      </c>
      <c r="AW98" s="18" t="n">
        <v>16.3</v>
      </c>
      <c r="AX98" s="18" t="n">
        <v>156.6</v>
      </c>
      <c r="AY98" s="18" t="s">
        <v>329</v>
      </c>
    </row>
    <row r="99" customFormat="false" ht="15" hidden="false" customHeight="false" outlineLevel="0" collapsed="false">
      <c r="A99" s="18" t="n">
        <v>98</v>
      </c>
      <c r="B99" s="18" t="s">
        <v>330</v>
      </c>
      <c r="C99" s="18" t="s">
        <v>146</v>
      </c>
      <c r="D99" s="18"/>
      <c r="E99" s="18" t="n">
        <v>0.7</v>
      </c>
      <c r="F99" s="18" t="n">
        <v>-1.75</v>
      </c>
      <c r="G99" s="18" t="n">
        <v>-0.93</v>
      </c>
      <c r="H99" s="18" t="n">
        <v>0</v>
      </c>
      <c r="I99" s="18" t="n">
        <v>0.7</v>
      </c>
      <c r="J99" s="18" t="n">
        <v>0.7</v>
      </c>
      <c r="K99" s="18" t="n">
        <v>3</v>
      </c>
      <c r="L99" s="18" t="n">
        <v>24</v>
      </c>
      <c r="M99" s="18" t="n">
        <v>20260907</v>
      </c>
      <c r="N99" s="18" t="n">
        <v>0</v>
      </c>
      <c r="O99" s="19" t="n">
        <v>0.9761</v>
      </c>
      <c r="P99" s="18" t="s">
        <v>116</v>
      </c>
      <c r="Q99" s="19" t="n">
        <v>0.983</v>
      </c>
      <c r="R99" s="19" t="n">
        <v>0.969</v>
      </c>
      <c r="S99" s="19" t="n">
        <v>0.976</v>
      </c>
      <c r="T99" s="19" t="n">
        <v>0.991</v>
      </c>
      <c r="U99" s="18" t="n">
        <v>7.4</v>
      </c>
      <c r="V99" s="19" t="n">
        <v>0.894</v>
      </c>
      <c r="W99" s="19" t="n">
        <v>0.95</v>
      </c>
      <c r="X99" s="19" t="n">
        <v>0.922</v>
      </c>
      <c r="Y99" s="19" t="n">
        <v>0.968</v>
      </c>
      <c r="Z99" s="18" t="n">
        <v>13.8</v>
      </c>
      <c r="AA99" s="18" t="n">
        <v>46</v>
      </c>
      <c r="AB99" s="18" t="n">
        <v>0.96</v>
      </c>
      <c r="AC99" s="18" t="n">
        <v>6.69</v>
      </c>
      <c r="AD99" s="18" t="n">
        <v>49.6</v>
      </c>
      <c r="AE99" s="18" t="n">
        <v>11.1</v>
      </c>
      <c r="AF99" s="18" t="n">
        <v>0.013</v>
      </c>
      <c r="AG99" s="18" t="n">
        <v>0.71</v>
      </c>
      <c r="AH99" s="18" t="n">
        <v>9.6</v>
      </c>
      <c r="AI99" s="18" t="n">
        <v>140</v>
      </c>
      <c r="AJ99" s="18" t="n">
        <v>1272</v>
      </c>
      <c r="AK99" s="18" t="n">
        <v>225</v>
      </c>
      <c r="AL99" s="18" t="n">
        <v>3</v>
      </c>
      <c r="AM99" s="18" t="n">
        <v>7</v>
      </c>
      <c r="AN99" s="20" t="n">
        <v>-0.0769</v>
      </c>
      <c r="AO99" s="20" t="n">
        <v>0.1154</v>
      </c>
      <c r="AP99" s="20" t="n">
        <v>-0.0761</v>
      </c>
      <c r="AQ99" s="20" t="n">
        <v>0.1161</v>
      </c>
      <c r="AR99" s="18" t="n">
        <v>9</v>
      </c>
      <c r="AS99" s="18" t="n">
        <v>11</v>
      </c>
      <c r="AT99" s="18" t="n">
        <v>16</v>
      </c>
      <c r="AU99" s="18" t="n">
        <v>0</v>
      </c>
      <c r="AV99" s="18" t="n">
        <v>79</v>
      </c>
      <c r="AW99" s="18" t="n">
        <v>16.1</v>
      </c>
      <c r="AX99" s="18" t="n">
        <v>96.1</v>
      </c>
      <c r="AY99" s="18" t="s">
        <v>331</v>
      </c>
    </row>
    <row r="100" customFormat="false" ht="15" hidden="false" customHeight="false" outlineLevel="0" collapsed="false">
      <c r="A100" s="18" t="n">
        <v>99</v>
      </c>
      <c r="B100" s="18" t="s">
        <v>332</v>
      </c>
      <c r="C100" s="18" t="s">
        <v>146</v>
      </c>
      <c r="D100" s="18"/>
      <c r="E100" s="18" t="n">
        <v>0.7</v>
      </c>
      <c r="F100" s="18" t="n">
        <v>-1.75</v>
      </c>
      <c r="G100" s="18" t="n">
        <v>-0.93</v>
      </c>
      <c r="H100" s="18" t="n">
        <v>0</v>
      </c>
      <c r="I100" s="18" t="n">
        <v>0.8</v>
      </c>
      <c r="J100" s="18" t="n">
        <v>0.6</v>
      </c>
      <c r="K100" s="18" t="n">
        <v>3</v>
      </c>
      <c r="L100" s="18" t="n">
        <v>24</v>
      </c>
      <c r="M100" s="18" t="n">
        <v>20260907</v>
      </c>
      <c r="N100" s="18" t="n">
        <v>0</v>
      </c>
      <c r="O100" s="19" t="n">
        <v>0.98</v>
      </c>
      <c r="P100" s="18" t="s">
        <v>116</v>
      </c>
      <c r="Q100" s="19" t="n">
        <v>0.98</v>
      </c>
      <c r="R100" s="19" t="n">
        <v>0.98</v>
      </c>
      <c r="S100" s="19" t="n">
        <v>0.98</v>
      </c>
      <c r="T100" s="19" t="n">
        <v>0.991</v>
      </c>
      <c r="U100" s="18" t="n">
        <v>7.1</v>
      </c>
      <c r="V100" s="19" t="n">
        <v>0.946</v>
      </c>
      <c r="W100" s="19" t="n">
        <v>0.981</v>
      </c>
      <c r="X100" s="19" t="n">
        <v>0.963</v>
      </c>
      <c r="Y100" s="19" t="n">
        <v>0.984</v>
      </c>
      <c r="Z100" s="18" t="n">
        <v>9.6</v>
      </c>
      <c r="AA100" s="18" t="n">
        <v>48</v>
      </c>
      <c r="AB100" s="18" t="n">
        <v>1</v>
      </c>
      <c r="AC100" s="18" t="n">
        <v>7.56</v>
      </c>
      <c r="AD100" s="18" t="n">
        <v>53.4</v>
      </c>
      <c r="AE100" s="18" t="n">
        <v>8.4</v>
      </c>
      <c r="AF100" s="18" t="n">
        <v>-0.038</v>
      </c>
      <c r="AG100" s="18" t="n">
        <v>0.62</v>
      </c>
      <c r="AH100" s="18" t="n">
        <v>7.8</v>
      </c>
      <c r="AI100" s="18" t="n">
        <v>164</v>
      </c>
      <c r="AJ100" s="18" t="n">
        <v>1216</v>
      </c>
      <c r="AK100" s="18" t="n">
        <v>235</v>
      </c>
      <c r="AL100" s="18" t="n">
        <v>1</v>
      </c>
      <c r="AM100" s="18" t="n">
        <v>17</v>
      </c>
      <c r="AN100" s="20" t="n">
        <v>-0.0665</v>
      </c>
      <c r="AO100" s="20" t="n">
        <v>0.1204</v>
      </c>
      <c r="AP100" s="20" t="n">
        <v>-0.0709</v>
      </c>
      <c r="AQ100" s="20" t="n">
        <v>0.0888</v>
      </c>
      <c r="AR100" s="18" t="n">
        <v>9</v>
      </c>
      <c r="AS100" s="18" t="n">
        <v>17</v>
      </c>
      <c r="AT100" s="18" t="n">
        <v>17</v>
      </c>
      <c r="AU100" s="18" t="n">
        <v>0</v>
      </c>
      <c r="AV100" s="18" t="n">
        <v>128</v>
      </c>
      <c r="AW100" s="18" t="n">
        <v>16.7</v>
      </c>
      <c r="AX100" s="18" t="n">
        <v>146</v>
      </c>
      <c r="AY100" s="18" t="s">
        <v>333</v>
      </c>
    </row>
    <row r="101" customFormat="false" ht="15" hidden="false" customHeight="false" outlineLevel="0" collapsed="false">
      <c r="A101" s="18" t="n">
        <v>100</v>
      </c>
      <c r="B101" s="18" t="s">
        <v>334</v>
      </c>
      <c r="C101" s="18" t="s">
        <v>151</v>
      </c>
      <c r="D101" s="18"/>
      <c r="E101" s="18" t="n">
        <v>0.7</v>
      </c>
      <c r="F101" s="18" t="n">
        <v>-1.75</v>
      </c>
      <c r="G101" s="18" t="n">
        <v>-0.93</v>
      </c>
      <c r="H101" s="18" t="n">
        <v>0</v>
      </c>
      <c r="I101" s="18" t="n">
        <v>0.7</v>
      </c>
      <c r="J101" s="18" t="n">
        <v>0.6</v>
      </c>
      <c r="K101" s="18" t="n">
        <v>3</v>
      </c>
      <c r="L101" s="18" t="n">
        <v>24</v>
      </c>
      <c r="M101" s="18" t="n">
        <v>20260910</v>
      </c>
      <c r="N101" s="18" t="n">
        <v>1</v>
      </c>
      <c r="O101" s="19" t="n">
        <v>0.9762</v>
      </c>
      <c r="P101" s="18" t="s">
        <v>116</v>
      </c>
      <c r="Q101" s="19" t="n">
        <v>0.989</v>
      </c>
      <c r="R101" s="19" t="n">
        <v>0.964</v>
      </c>
      <c r="S101" s="19" t="n">
        <v>0.976</v>
      </c>
      <c r="T101" s="19" t="n">
        <v>0.99</v>
      </c>
      <c r="U101" s="18" t="n">
        <v>7.6</v>
      </c>
      <c r="V101" s="19" t="n">
        <v>0.94</v>
      </c>
      <c r="W101" s="19" t="n">
        <v>0.93</v>
      </c>
      <c r="X101" s="19" t="n">
        <v>0.935</v>
      </c>
      <c r="Y101" s="19" t="n">
        <v>0.98</v>
      </c>
      <c r="Z101" s="18" t="n">
        <v>10.2</v>
      </c>
      <c r="AA101" s="18" t="n">
        <v>46</v>
      </c>
      <c r="AB101" s="18" t="n">
        <v>0.96</v>
      </c>
      <c r="AC101" s="18" t="n">
        <v>6.84</v>
      </c>
      <c r="AD101" s="18" t="n">
        <v>51.7</v>
      </c>
      <c r="AE101" s="18" t="n">
        <v>9.3</v>
      </c>
      <c r="AF101" s="18" t="n">
        <v>-0.015</v>
      </c>
      <c r="AG101" s="18" t="n">
        <v>0.58</v>
      </c>
      <c r="AH101" s="18" t="n">
        <v>6.6</v>
      </c>
      <c r="AI101" s="18" t="n">
        <v>122</v>
      </c>
      <c r="AJ101" s="18" t="n">
        <v>1279</v>
      </c>
      <c r="AK101" s="18" t="n">
        <v>236</v>
      </c>
      <c r="AL101" s="18" t="n">
        <v>7</v>
      </c>
      <c r="AM101" s="18" t="n">
        <v>15</v>
      </c>
      <c r="AN101" s="20" t="n">
        <v>-0.0625</v>
      </c>
      <c r="AO101" s="20" t="n">
        <v>0.093</v>
      </c>
      <c r="AP101" s="20" t="n">
        <v>-0.0661</v>
      </c>
      <c r="AQ101" s="20" t="n">
        <v>0.075</v>
      </c>
      <c r="AR101" s="18" t="n">
        <v>9</v>
      </c>
      <c r="AS101" s="18" t="n">
        <v>16</v>
      </c>
      <c r="AT101" s="18" t="n">
        <v>9</v>
      </c>
      <c r="AU101" s="18" t="n">
        <v>0</v>
      </c>
      <c r="AV101" s="18" t="n">
        <v>99</v>
      </c>
      <c r="AW101" s="18" t="n">
        <v>17.2</v>
      </c>
      <c r="AX101" s="18" t="n">
        <v>117</v>
      </c>
      <c r="AY101" s="18" t="s">
        <v>335</v>
      </c>
    </row>
    <row r="102" customFormat="false" ht="15" hidden="false" customHeight="false" outlineLevel="0" collapsed="false">
      <c r="A102" s="18" t="n">
        <v>101</v>
      </c>
      <c r="B102" s="18" t="s">
        <v>336</v>
      </c>
      <c r="C102" s="18" t="s">
        <v>267</v>
      </c>
      <c r="D102" s="18"/>
      <c r="E102" s="18" t="n">
        <v>0.75</v>
      </c>
      <c r="F102" s="18" t="n">
        <v>-1.75</v>
      </c>
      <c r="G102" s="18" t="n">
        <v>-0.93</v>
      </c>
      <c r="H102" s="18" t="n">
        <v>0</v>
      </c>
      <c r="I102" s="18" t="n">
        <v>0.7</v>
      </c>
      <c r="J102" s="18" t="n">
        <v>0.7</v>
      </c>
      <c r="K102" s="18" t="n">
        <v>3</v>
      </c>
      <c r="L102" s="18" t="n">
        <v>24</v>
      </c>
      <c r="M102" s="18" t="n">
        <v>20260905</v>
      </c>
      <c r="N102" s="18" t="n">
        <v>0</v>
      </c>
      <c r="O102" s="19" t="n">
        <v>0.9858</v>
      </c>
      <c r="P102" s="18" t="s">
        <v>116</v>
      </c>
      <c r="Q102" s="19" t="n">
        <v>0.993</v>
      </c>
      <c r="R102" s="19" t="n">
        <v>0.979</v>
      </c>
      <c r="S102" s="19" t="n">
        <v>0.986</v>
      </c>
      <c r="T102" s="19" t="n">
        <v>0.993</v>
      </c>
      <c r="U102" s="18" t="n">
        <v>6.7</v>
      </c>
      <c r="V102" s="19" t="n">
        <v>0.971</v>
      </c>
      <c r="W102" s="19" t="n">
        <v>0.928</v>
      </c>
      <c r="X102" s="19" t="n">
        <v>0.95</v>
      </c>
      <c r="Y102" s="19" t="n">
        <v>0.979</v>
      </c>
      <c r="Z102" s="18" t="n">
        <v>10.6</v>
      </c>
      <c r="AA102" s="18" t="n">
        <v>44</v>
      </c>
      <c r="AB102" s="18" t="n">
        <v>0.92</v>
      </c>
      <c r="AC102" s="18" t="n">
        <v>8.34</v>
      </c>
      <c r="AD102" s="18" t="n">
        <v>55.6</v>
      </c>
      <c r="AE102" s="18" t="n">
        <v>10.4</v>
      </c>
      <c r="AF102" s="18" t="n">
        <v>-0.006</v>
      </c>
      <c r="AG102" s="18" t="n">
        <v>0.5</v>
      </c>
      <c r="AH102" s="18" t="n">
        <v>6.7</v>
      </c>
      <c r="AI102" s="18" t="n">
        <v>130</v>
      </c>
      <c r="AJ102" s="18" t="n">
        <v>1284</v>
      </c>
      <c r="AK102" s="18" t="n">
        <v>224</v>
      </c>
      <c r="AL102" s="18" t="n">
        <v>5</v>
      </c>
      <c r="AM102" s="18" t="n">
        <v>8</v>
      </c>
      <c r="AN102" s="20" t="n">
        <v>-0.0768</v>
      </c>
      <c r="AO102" s="20" t="n">
        <v>0.1213</v>
      </c>
      <c r="AP102" s="20" t="n">
        <v>-0.0711</v>
      </c>
      <c r="AQ102" s="20" t="n">
        <v>0.1043</v>
      </c>
      <c r="AR102" s="18" t="n">
        <v>6</v>
      </c>
      <c r="AS102" s="18" t="n">
        <v>10</v>
      </c>
      <c r="AT102" s="18" t="n">
        <v>6</v>
      </c>
      <c r="AU102" s="18" t="n">
        <v>0</v>
      </c>
      <c r="AV102" s="18" t="n">
        <v>95</v>
      </c>
      <c r="AW102" s="18" t="n">
        <v>16.1</v>
      </c>
      <c r="AX102" s="18" t="n">
        <v>112.5</v>
      </c>
      <c r="AY102" s="18" t="s">
        <v>337</v>
      </c>
    </row>
    <row r="103" customFormat="false" ht="15" hidden="false" customHeight="false" outlineLevel="0" collapsed="false">
      <c r="A103" s="18" t="n">
        <v>102</v>
      </c>
      <c r="B103" s="18" t="s">
        <v>338</v>
      </c>
      <c r="C103" s="18" t="s">
        <v>267</v>
      </c>
      <c r="D103" s="18"/>
      <c r="E103" s="18" t="n">
        <v>0.7</v>
      </c>
      <c r="F103" s="18" t="n">
        <v>-2</v>
      </c>
      <c r="G103" s="18" t="n">
        <v>-0.93</v>
      </c>
      <c r="H103" s="18" t="n">
        <v>0</v>
      </c>
      <c r="I103" s="18" t="n">
        <v>0.8</v>
      </c>
      <c r="J103" s="18" t="n">
        <v>0.6</v>
      </c>
      <c r="K103" s="18" t="n">
        <v>3</v>
      </c>
      <c r="L103" s="18" t="n">
        <v>24</v>
      </c>
      <c r="M103" s="18" t="n">
        <v>20260905</v>
      </c>
      <c r="N103" s="18" t="n">
        <v>0</v>
      </c>
      <c r="O103" s="19" t="n">
        <v>0.9805</v>
      </c>
      <c r="P103" s="18" t="s">
        <v>116</v>
      </c>
      <c r="Q103" s="19" t="n">
        <v>0.982</v>
      </c>
      <c r="R103" s="19" t="n">
        <v>0.979</v>
      </c>
      <c r="S103" s="19" t="n">
        <v>0.981</v>
      </c>
      <c r="T103" s="19" t="n">
        <v>0.992</v>
      </c>
      <c r="U103" s="18" t="n">
        <v>6.9</v>
      </c>
      <c r="V103" s="19" t="n">
        <v>0.948</v>
      </c>
      <c r="W103" s="19" t="n">
        <v>0.96</v>
      </c>
      <c r="X103" s="19" t="n">
        <v>0.954</v>
      </c>
      <c r="Y103" s="19" t="n">
        <v>0.982</v>
      </c>
      <c r="Z103" s="18" t="n">
        <v>10.5</v>
      </c>
      <c r="AA103" s="18" t="n">
        <v>48</v>
      </c>
      <c r="AB103" s="18" t="n">
        <v>1</v>
      </c>
      <c r="AC103" s="18" t="n">
        <v>7.5</v>
      </c>
      <c r="AD103" s="18" t="n">
        <v>51.5</v>
      </c>
      <c r="AE103" s="18" t="n">
        <v>10.2</v>
      </c>
      <c r="AF103" s="18" t="n">
        <v>-0.02</v>
      </c>
      <c r="AG103" s="18" t="n">
        <v>0.58</v>
      </c>
      <c r="AH103" s="18" t="n">
        <v>7.8</v>
      </c>
      <c r="AI103" s="18" t="n">
        <v>161</v>
      </c>
      <c r="AJ103" s="18" t="n">
        <v>651</v>
      </c>
      <c r="AK103" s="18" t="n">
        <v>238</v>
      </c>
      <c r="AL103" s="18" t="n">
        <v>4</v>
      </c>
      <c r="AM103" s="18" t="n">
        <v>4</v>
      </c>
      <c r="AN103" s="20" t="n">
        <v>-0.0807</v>
      </c>
      <c r="AO103" s="20" t="n">
        <v>0.1497</v>
      </c>
      <c r="AP103" s="20" t="n">
        <v>-0.0666</v>
      </c>
      <c r="AQ103" s="20" t="n">
        <v>0.1425</v>
      </c>
      <c r="AR103" s="18" t="n">
        <v>10</v>
      </c>
      <c r="AS103" s="18" t="n">
        <v>5</v>
      </c>
      <c r="AT103" s="18" t="n">
        <v>6</v>
      </c>
      <c r="AU103" s="18" t="n">
        <v>0</v>
      </c>
      <c r="AV103" s="18" t="n">
        <v>121</v>
      </c>
      <c r="AW103" s="18" t="n">
        <v>16</v>
      </c>
      <c r="AX103" s="18" t="n">
        <v>138.3</v>
      </c>
      <c r="AY103" s="18" t="s">
        <v>339</v>
      </c>
    </row>
    <row r="104" customFormat="false" ht="15" hidden="false" customHeight="false" outlineLevel="0" collapsed="false">
      <c r="A104" s="18" t="n">
        <v>103</v>
      </c>
      <c r="B104" s="18" t="s">
        <v>340</v>
      </c>
      <c r="C104" s="18" t="s">
        <v>267</v>
      </c>
      <c r="D104" s="18"/>
      <c r="E104" s="18" t="n">
        <v>0.7</v>
      </c>
      <c r="F104" s="18" t="n">
        <v>-2</v>
      </c>
      <c r="G104" s="18" t="n">
        <v>-0.93</v>
      </c>
      <c r="H104" s="18" t="n">
        <v>0</v>
      </c>
      <c r="I104" s="18" t="n">
        <v>0.7</v>
      </c>
      <c r="J104" s="18" t="n">
        <v>0.7</v>
      </c>
      <c r="K104" s="18" t="n">
        <v>3</v>
      </c>
      <c r="L104" s="18" t="n">
        <v>24</v>
      </c>
      <c r="M104" s="18" t="n">
        <v>20260905</v>
      </c>
      <c r="N104" s="18" t="n">
        <v>0</v>
      </c>
      <c r="O104" s="19" t="n">
        <v>0.9809</v>
      </c>
      <c r="P104" s="18" t="s">
        <v>116</v>
      </c>
      <c r="Q104" s="19" t="n">
        <v>0.976</v>
      </c>
      <c r="R104" s="19" t="n">
        <v>0.986</v>
      </c>
      <c r="S104" s="19" t="n">
        <v>0.981</v>
      </c>
      <c r="T104" s="19" t="n">
        <v>0.992</v>
      </c>
      <c r="U104" s="18" t="n">
        <v>6.9</v>
      </c>
      <c r="V104" s="19" t="n">
        <v>0.779</v>
      </c>
      <c r="W104" s="19" t="n">
        <v>0.945</v>
      </c>
      <c r="X104" s="19" t="n">
        <v>0.862</v>
      </c>
      <c r="Y104" s="19" t="n">
        <v>0.953</v>
      </c>
      <c r="Z104" s="18" t="n">
        <v>15.4</v>
      </c>
      <c r="AA104" s="18" t="n">
        <v>46</v>
      </c>
      <c r="AB104" s="18" t="n">
        <v>0.96</v>
      </c>
      <c r="AC104" s="18" t="n">
        <v>7.49</v>
      </c>
      <c r="AD104" s="18" t="n">
        <v>51.6</v>
      </c>
      <c r="AE104" s="18" t="n">
        <v>10.1</v>
      </c>
      <c r="AF104" s="18" t="n">
        <v>-0.031</v>
      </c>
      <c r="AG104" s="18" t="n">
        <v>0.67</v>
      </c>
      <c r="AH104" s="18" t="n">
        <v>9.6</v>
      </c>
      <c r="AI104" s="18" t="n">
        <v>143</v>
      </c>
      <c r="AJ104" s="18" t="n">
        <v>690</v>
      </c>
      <c r="AK104" s="18" t="n">
        <v>239</v>
      </c>
      <c r="AL104" s="18" t="n">
        <v>1</v>
      </c>
      <c r="AM104" s="18" t="n">
        <v>18</v>
      </c>
      <c r="AN104" s="20" t="n">
        <v>-0.0913</v>
      </c>
      <c r="AO104" s="20" t="n">
        <v>0.1436</v>
      </c>
      <c r="AP104" s="20" t="n">
        <v>-0.0848</v>
      </c>
      <c r="AQ104" s="20" t="n">
        <v>0.1338</v>
      </c>
      <c r="AR104" s="18" t="n">
        <v>8</v>
      </c>
      <c r="AS104" s="18" t="n">
        <v>5</v>
      </c>
      <c r="AT104" s="18" t="n">
        <v>14</v>
      </c>
      <c r="AU104" s="18" t="n">
        <v>0</v>
      </c>
      <c r="AV104" s="18" t="n">
        <v>113</v>
      </c>
      <c r="AW104" s="18" t="n">
        <v>15.8</v>
      </c>
      <c r="AX104" s="18" t="n">
        <v>129.7</v>
      </c>
      <c r="AY104" s="18" t="s">
        <v>341</v>
      </c>
    </row>
    <row r="105" customFormat="false" ht="15" hidden="false" customHeight="false" outlineLevel="0" collapsed="false">
      <c r="A105" s="18" t="n">
        <v>104</v>
      </c>
      <c r="B105" s="18" t="s">
        <v>342</v>
      </c>
      <c r="C105" s="18" t="s">
        <v>267</v>
      </c>
      <c r="D105" s="18"/>
      <c r="E105" s="18" t="n">
        <v>0.7</v>
      </c>
      <c r="F105" s="18" t="n">
        <v>-1.75</v>
      </c>
      <c r="G105" s="18" t="n">
        <v>-0.93</v>
      </c>
      <c r="H105" s="18" t="n">
        <v>0</v>
      </c>
      <c r="I105" s="18" t="n">
        <v>0.8</v>
      </c>
      <c r="J105" s="18" t="n">
        <v>0.7</v>
      </c>
      <c r="K105" s="18" t="n">
        <v>3</v>
      </c>
      <c r="L105" s="18" t="n">
        <v>24</v>
      </c>
      <c r="M105" s="18" t="n">
        <v>20260905</v>
      </c>
      <c r="N105" s="18" t="n">
        <v>0</v>
      </c>
      <c r="O105" s="19" t="n">
        <v>0.985</v>
      </c>
      <c r="P105" s="18" t="s">
        <v>116</v>
      </c>
      <c r="Q105" s="19" t="n">
        <v>0.985</v>
      </c>
      <c r="R105" s="19" t="n">
        <v>0.985</v>
      </c>
      <c r="S105" s="19" t="n">
        <v>0.985</v>
      </c>
      <c r="T105" s="19" t="n">
        <v>0.994</v>
      </c>
      <c r="U105" s="18" t="n">
        <v>5.7</v>
      </c>
      <c r="V105" s="19" t="n">
        <v>0.979</v>
      </c>
      <c r="W105" s="19" t="n">
        <v>0.969</v>
      </c>
      <c r="X105" s="19" t="n">
        <v>0.974</v>
      </c>
      <c r="Y105" s="19" t="n">
        <v>0.99</v>
      </c>
      <c r="Z105" s="18" t="n">
        <v>7.5</v>
      </c>
      <c r="AA105" s="18" t="n">
        <v>48</v>
      </c>
      <c r="AB105" s="18" t="n">
        <v>1</v>
      </c>
      <c r="AC105" s="18" t="n">
        <v>8.53</v>
      </c>
      <c r="AD105" s="18" t="n">
        <v>48.9</v>
      </c>
      <c r="AE105" s="18" t="n">
        <v>8.8</v>
      </c>
      <c r="AF105" s="18" t="n">
        <v>-0.009</v>
      </c>
      <c r="AG105" s="18" t="n">
        <v>0.67</v>
      </c>
      <c r="AH105" s="18" t="n">
        <v>7.5</v>
      </c>
      <c r="AI105" s="18" t="n">
        <v>170</v>
      </c>
      <c r="AJ105" s="18" t="n">
        <v>1221</v>
      </c>
      <c r="AK105" s="18" t="n">
        <v>225</v>
      </c>
      <c r="AL105" s="18" t="n">
        <v>1</v>
      </c>
      <c r="AM105" s="18" t="n">
        <v>5</v>
      </c>
      <c r="AN105" s="20" t="n">
        <v>-0.0656</v>
      </c>
      <c r="AO105" s="20" t="n">
        <v>0.1194</v>
      </c>
      <c r="AP105" s="20" t="n">
        <v>-0.0741</v>
      </c>
      <c r="AQ105" s="20" t="n">
        <v>0.1042</v>
      </c>
      <c r="AR105" s="18" t="n">
        <v>6</v>
      </c>
      <c r="AS105" s="18" t="n">
        <v>8</v>
      </c>
      <c r="AT105" s="18" t="n">
        <v>15</v>
      </c>
      <c r="AU105" s="18" t="n">
        <v>0</v>
      </c>
      <c r="AV105" s="18" t="n">
        <v>85</v>
      </c>
      <c r="AW105" s="18" t="n">
        <v>16.4</v>
      </c>
      <c r="AX105" s="18" t="n">
        <v>102.8</v>
      </c>
      <c r="AY105" s="18" t="s">
        <v>343</v>
      </c>
    </row>
    <row r="106" customFormat="false" ht="15" hidden="false" customHeight="false" outlineLevel="0" collapsed="false">
      <c r="A106" s="18" t="n">
        <v>105</v>
      </c>
      <c r="B106" s="18" t="s">
        <v>344</v>
      </c>
      <c r="C106" s="18" t="s">
        <v>151</v>
      </c>
      <c r="D106" s="18"/>
      <c r="E106" s="18" t="n">
        <v>0.7</v>
      </c>
      <c r="F106" s="18" t="n">
        <v>-1.75</v>
      </c>
      <c r="G106" s="18" t="n">
        <v>-0.93</v>
      </c>
      <c r="H106" s="18" t="n">
        <v>0</v>
      </c>
      <c r="I106" s="18" t="n">
        <v>0.7</v>
      </c>
      <c r="J106" s="18" t="n">
        <v>0.6</v>
      </c>
      <c r="K106" s="18" t="n">
        <v>3</v>
      </c>
      <c r="L106" s="18" t="n">
        <v>24</v>
      </c>
      <c r="M106" s="18" t="n">
        <v>20260911</v>
      </c>
      <c r="N106" s="18" t="n">
        <v>1</v>
      </c>
      <c r="O106" s="19" t="n">
        <v>0.9766</v>
      </c>
      <c r="P106" s="18" t="s">
        <v>116</v>
      </c>
      <c r="Q106" s="19" t="n">
        <v>0.971</v>
      </c>
      <c r="R106" s="19" t="n">
        <v>0.982</v>
      </c>
      <c r="S106" s="19" t="n">
        <v>0.977</v>
      </c>
      <c r="T106" s="19" t="n">
        <v>0.992</v>
      </c>
      <c r="U106" s="18" t="n">
        <v>6.6</v>
      </c>
      <c r="V106" s="19" t="n">
        <v>0.878</v>
      </c>
      <c r="W106" s="19" t="n">
        <v>0.942</v>
      </c>
      <c r="X106" s="19" t="n">
        <v>0.91</v>
      </c>
      <c r="Y106" s="19" t="n">
        <v>0.968</v>
      </c>
      <c r="Z106" s="18" t="n">
        <v>13</v>
      </c>
      <c r="AA106" s="18" t="n">
        <v>48</v>
      </c>
      <c r="AB106" s="18" t="n">
        <v>1</v>
      </c>
      <c r="AC106" s="18" t="n">
        <v>7</v>
      </c>
      <c r="AD106" s="18" t="n">
        <v>46.2</v>
      </c>
      <c r="AE106" s="18" t="n">
        <v>10.5</v>
      </c>
      <c r="AF106" s="18" t="n">
        <v>-0.005</v>
      </c>
      <c r="AG106" s="18" t="n">
        <v>0.46</v>
      </c>
      <c r="AH106" s="18" t="n">
        <v>7.1</v>
      </c>
      <c r="AI106" s="18" t="n">
        <v>131</v>
      </c>
      <c r="AJ106" s="18" t="n">
        <v>1255</v>
      </c>
      <c r="AK106" s="18" t="n">
        <v>236</v>
      </c>
      <c r="AL106" s="18" t="n">
        <v>2</v>
      </c>
      <c r="AM106" s="18" t="n">
        <v>11</v>
      </c>
      <c r="AN106" s="20" t="n">
        <v>-0.0768</v>
      </c>
      <c r="AO106" s="20" t="n">
        <v>0.106</v>
      </c>
      <c r="AP106" s="20" t="n">
        <v>-0.0661</v>
      </c>
      <c r="AQ106" s="20" t="n">
        <v>0.0974</v>
      </c>
      <c r="AR106" s="18" t="n">
        <v>7</v>
      </c>
      <c r="AS106" s="18" t="n">
        <v>18</v>
      </c>
      <c r="AT106" s="18" t="n">
        <v>26</v>
      </c>
      <c r="AU106" s="18" t="n">
        <v>0</v>
      </c>
      <c r="AV106" s="18" t="n">
        <v>115</v>
      </c>
      <c r="AW106" s="18" t="n">
        <v>15.8</v>
      </c>
      <c r="AX106" s="18" t="n">
        <v>193.7</v>
      </c>
      <c r="AY106" s="18" t="s">
        <v>345</v>
      </c>
    </row>
    <row r="107" customFormat="false" ht="15" hidden="false" customHeight="false" outlineLevel="0" collapsed="false">
      <c r="A107" s="18" t="n">
        <v>106</v>
      </c>
      <c r="B107" s="18" t="s">
        <v>346</v>
      </c>
      <c r="C107" s="18" t="s">
        <v>267</v>
      </c>
      <c r="D107" s="18"/>
      <c r="E107" s="18" t="n">
        <v>0.75</v>
      </c>
      <c r="F107" s="18" t="n">
        <v>-2</v>
      </c>
      <c r="G107" s="18" t="n">
        <v>-0.93</v>
      </c>
      <c r="H107" s="18" t="n">
        <v>0</v>
      </c>
      <c r="I107" s="18" t="n">
        <v>0.7</v>
      </c>
      <c r="J107" s="18" t="n">
        <v>0.6</v>
      </c>
      <c r="K107" s="18" t="n">
        <v>3</v>
      </c>
      <c r="L107" s="18" t="n">
        <v>24</v>
      </c>
      <c r="M107" s="18" t="n">
        <v>20260905</v>
      </c>
      <c r="N107" s="18" t="n">
        <v>0</v>
      </c>
      <c r="O107" s="19" t="n">
        <v>0.9871</v>
      </c>
      <c r="P107" s="18" t="s">
        <v>116</v>
      </c>
      <c r="Q107" s="19" t="n">
        <v>0.987</v>
      </c>
      <c r="R107" s="19" t="n">
        <v>0.987</v>
      </c>
      <c r="S107" s="19" t="n">
        <v>0.987</v>
      </c>
      <c r="T107" s="19" t="n">
        <v>0.994</v>
      </c>
      <c r="U107" s="18" t="n">
        <v>6.6</v>
      </c>
      <c r="V107" s="19" t="n">
        <v>0.98</v>
      </c>
      <c r="W107" s="19" t="n">
        <v>0.974</v>
      </c>
      <c r="X107" s="19" t="n">
        <v>0.977</v>
      </c>
      <c r="Y107" s="19" t="n">
        <v>0.991</v>
      </c>
      <c r="Z107" s="18" t="n">
        <v>7.3</v>
      </c>
      <c r="AA107" s="18" t="n">
        <v>44</v>
      </c>
      <c r="AB107" s="18" t="n">
        <v>0.92</v>
      </c>
      <c r="AC107" s="18" t="n">
        <v>8.99</v>
      </c>
      <c r="AD107" s="18" t="n">
        <v>59</v>
      </c>
      <c r="AE107" s="18" t="n">
        <v>11.4</v>
      </c>
      <c r="AF107" s="18" t="n">
        <v>0.019</v>
      </c>
      <c r="AG107" s="18" t="n">
        <v>0.83</v>
      </c>
      <c r="AH107" s="18" t="n">
        <v>6.3</v>
      </c>
      <c r="AI107" s="18" t="n">
        <v>129</v>
      </c>
      <c r="AJ107" s="18" t="n">
        <v>682</v>
      </c>
      <c r="AK107" s="18" t="n">
        <v>237</v>
      </c>
      <c r="AL107" s="18" t="n">
        <v>3</v>
      </c>
      <c r="AM107" s="18" t="n">
        <v>5</v>
      </c>
      <c r="AN107" s="20" t="n">
        <v>-0.0917</v>
      </c>
      <c r="AO107" s="20" t="n">
        <v>0.1547</v>
      </c>
      <c r="AP107" s="20" t="n">
        <v>-0.0873</v>
      </c>
      <c r="AQ107" s="20" t="n">
        <v>0.1349</v>
      </c>
      <c r="AR107" s="18" t="n">
        <v>7</v>
      </c>
      <c r="AS107" s="18" t="n">
        <v>18</v>
      </c>
      <c r="AT107" s="18" t="n">
        <v>8</v>
      </c>
      <c r="AU107" s="18" t="n">
        <v>0</v>
      </c>
      <c r="AV107" s="18" t="n">
        <v>117</v>
      </c>
      <c r="AW107" s="18" t="n">
        <v>16.2</v>
      </c>
      <c r="AX107" s="18" t="n">
        <v>195.6</v>
      </c>
      <c r="AY107" s="18" t="s">
        <v>347</v>
      </c>
    </row>
    <row r="108" customFormat="false" ht="15" hidden="false" customHeight="false" outlineLevel="0" collapsed="false">
      <c r="A108" s="18" t="n">
        <v>107</v>
      </c>
      <c r="B108" s="18" t="s">
        <v>348</v>
      </c>
      <c r="C108" s="18" t="s">
        <v>114</v>
      </c>
      <c r="D108" s="18" t="s">
        <v>349</v>
      </c>
      <c r="E108" s="18" t="n">
        <v>0.7</v>
      </c>
      <c r="F108" s="18" t="n">
        <v>-1.25</v>
      </c>
      <c r="G108" s="18" t="n">
        <v>-0.93</v>
      </c>
      <c r="H108" s="18" t="n">
        <v>0</v>
      </c>
      <c r="I108" s="18" t="n">
        <v>0.7</v>
      </c>
      <c r="J108" s="18" t="n">
        <v>0.6</v>
      </c>
      <c r="K108" s="18" t="n">
        <v>3</v>
      </c>
      <c r="L108" s="18" t="n">
        <v>24</v>
      </c>
      <c r="M108" s="18" t="n">
        <v>20260915</v>
      </c>
      <c r="N108" s="18" t="n">
        <v>0</v>
      </c>
      <c r="O108" s="19" t="n">
        <v>0.9827</v>
      </c>
      <c r="P108" s="18" t="s">
        <v>116</v>
      </c>
      <c r="Q108" s="19" t="n">
        <v>0.981</v>
      </c>
      <c r="R108" s="19" t="n">
        <v>0.985</v>
      </c>
      <c r="S108" s="19" t="n">
        <v>0.983</v>
      </c>
      <c r="T108" s="19" t="n">
        <v>0.995</v>
      </c>
      <c r="U108" s="18" t="n">
        <v>4.6</v>
      </c>
      <c r="V108" s="19" t="n">
        <v>0.935</v>
      </c>
      <c r="W108" s="19" t="n">
        <v>0.967</v>
      </c>
      <c r="X108" s="19" t="n">
        <v>0.951</v>
      </c>
      <c r="Y108" s="19" t="n">
        <v>0.985</v>
      </c>
      <c r="Z108" s="18" t="n">
        <v>7.8</v>
      </c>
      <c r="AA108" s="18" t="n">
        <v>48</v>
      </c>
      <c r="AB108" s="18" t="n">
        <v>1</v>
      </c>
      <c r="AC108" s="18" t="n">
        <v>7.84</v>
      </c>
      <c r="AD108" s="18" t="n">
        <v>36.1</v>
      </c>
      <c r="AE108" s="18" t="n">
        <v>7</v>
      </c>
      <c r="AF108" s="18" t="n">
        <v>-0.006</v>
      </c>
      <c r="AG108" s="18" t="n">
        <v>0.38</v>
      </c>
      <c r="AH108" s="18" t="n">
        <v>5.4</v>
      </c>
      <c r="AI108" s="18" t="n">
        <v>102</v>
      </c>
      <c r="AJ108" s="18" t="n">
        <v>2119</v>
      </c>
      <c r="AK108" s="18" t="n">
        <v>185</v>
      </c>
      <c r="AL108" s="18" t="n">
        <v>1</v>
      </c>
      <c r="AM108" s="18" t="n">
        <v>4</v>
      </c>
      <c r="AN108" s="20" t="n">
        <v>-0.0457</v>
      </c>
      <c r="AO108" s="20" t="n">
        <v>0.0386</v>
      </c>
      <c r="AP108" s="20" t="n">
        <v>-0.0458</v>
      </c>
      <c r="AQ108" s="20" t="n">
        <v>0.0351</v>
      </c>
      <c r="AR108" s="18" t="n">
        <v>9</v>
      </c>
      <c r="AS108" s="18" t="n">
        <v>15</v>
      </c>
      <c r="AT108" s="18" t="n">
        <v>12</v>
      </c>
      <c r="AU108" s="18" t="n">
        <v>0</v>
      </c>
      <c r="AV108" s="18" t="n">
        <v>114</v>
      </c>
      <c r="AW108" s="18" t="n">
        <v>16.3</v>
      </c>
      <c r="AX108" s="18" t="n">
        <v>132.1</v>
      </c>
      <c r="AY108" s="18" t="s">
        <v>350</v>
      </c>
    </row>
    <row r="109" customFormat="false" ht="15" hidden="false" customHeight="false" outlineLevel="0" collapsed="false">
      <c r="A109" s="18" t="n">
        <v>108</v>
      </c>
      <c r="B109" s="18" t="s">
        <v>351</v>
      </c>
      <c r="C109" s="18" t="s">
        <v>114</v>
      </c>
      <c r="D109" s="18" t="s">
        <v>352</v>
      </c>
      <c r="E109" s="18" t="n">
        <v>0.7</v>
      </c>
      <c r="F109" s="18" t="n">
        <v>-1.5</v>
      </c>
      <c r="G109" s="18" t="n">
        <v>-0.93</v>
      </c>
      <c r="H109" s="18" t="n">
        <v>0</v>
      </c>
      <c r="I109" s="18" t="n">
        <v>0.7</v>
      </c>
      <c r="J109" s="18" t="n">
        <v>0.6</v>
      </c>
      <c r="K109" s="18" t="n">
        <v>3</v>
      </c>
      <c r="L109" s="18" t="n">
        <v>24</v>
      </c>
      <c r="M109" s="18" t="n">
        <v>20260909</v>
      </c>
      <c r="N109" s="18" t="n">
        <v>0</v>
      </c>
      <c r="O109" s="19" t="n">
        <v>0.9815</v>
      </c>
      <c r="P109" s="18" t="s">
        <v>116</v>
      </c>
      <c r="Q109" s="19" t="n">
        <v>0.979</v>
      </c>
      <c r="R109" s="19" t="n">
        <v>0.984</v>
      </c>
      <c r="S109" s="19" t="n">
        <v>0.982</v>
      </c>
      <c r="T109" s="19" t="n">
        <v>0.993</v>
      </c>
      <c r="U109" s="18" t="n">
        <v>6.2</v>
      </c>
      <c r="V109" s="19" t="n">
        <v>0.965</v>
      </c>
      <c r="W109" s="19" t="n">
        <v>0.957</v>
      </c>
      <c r="X109" s="19" t="n">
        <v>0.961</v>
      </c>
      <c r="Y109" s="19" t="n">
        <v>0.985</v>
      </c>
      <c r="Z109" s="18" t="n">
        <v>8.4</v>
      </c>
      <c r="AA109" s="18" t="n">
        <v>44</v>
      </c>
      <c r="AB109" s="18" t="n">
        <v>0.92</v>
      </c>
      <c r="AC109" s="18" t="n">
        <v>7.46</v>
      </c>
      <c r="AD109" s="18" t="n">
        <v>46.1</v>
      </c>
      <c r="AE109" s="18" t="n">
        <v>9.7</v>
      </c>
      <c r="AF109" s="18" t="n">
        <v>-0.021</v>
      </c>
      <c r="AG109" s="18" t="n">
        <v>0.62</v>
      </c>
      <c r="AH109" s="18" t="n">
        <v>6.5</v>
      </c>
      <c r="AI109" s="18" t="n">
        <v>109</v>
      </c>
      <c r="AJ109" s="18" t="n">
        <v>1753</v>
      </c>
      <c r="AK109" s="18" t="n">
        <v>210</v>
      </c>
      <c r="AL109" s="18" t="n">
        <v>2</v>
      </c>
      <c r="AM109" s="18" t="n">
        <v>10</v>
      </c>
      <c r="AN109" s="20" t="n">
        <v>-0.0654</v>
      </c>
      <c r="AO109" s="20" t="n">
        <v>0.0861</v>
      </c>
      <c r="AP109" s="20" t="n">
        <v>-0.0643</v>
      </c>
      <c r="AQ109" s="20" t="n">
        <v>0.0649</v>
      </c>
      <c r="AR109" s="18" t="n">
        <v>8</v>
      </c>
      <c r="AS109" s="18" t="n">
        <v>6</v>
      </c>
      <c r="AT109" s="18" t="n">
        <v>28</v>
      </c>
      <c r="AU109" s="18" t="n">
        <v>0</v>
      </c>
      <c r="AV109" s="18" t="n">
        <v>131</v>
      </c>
      <c r="AW109" s="18" t="n">
        <v>15.4</v>
      </c>
      <c r="AX109" s="18" t="n">
        <v>147.9</v>
      </c>
      <c r="AY109" s="18" t="s">
        <v>353</v>
      </c>
    </row>
    <row r="110" customFormat="false" ht="15" hidden="false" customHeight="false" outlineLevel="0" collapsed="false">
      <c r="A110" s="18" t="n">
        <v>109</v>
      </c>
      <c r="B110" s="18" t="s">
        <v>354</v>
      </c>
      <c r="C110" s="18" t="s">
        <v>114</v>
      </c>
      <c r="D110" s="18" t="s">
        <v>355</v>
      </c>
      <c r="E110" s="18" t="n">
        <v>0.7</v>
      </c>
      <c r="F110" s="18" t="n">
        <v>-1.75</v>
      </c>
      <c r="G110" s="18" t="n">
        <v>-0.93</v>
      </c>
      <c r="H110" s="18" t="n">
        <v>0</v>
      </c>
      <c r="I110" s="18" t="n">
        <v>0.7</v>
      </c>
      <c r="J110" s="18" t="n">
        <v>0.6</v>
      </c>
      <c r="K110" s="18" t="n">
        <v>3</v>
      </c>
      <c r="L110" s="18" t="n">
        <v>24</v>
      </c>
      <c r="M110" s="18" t="n">
        <v>20260912</v>
      </c>
      <c r="N110" s="18" t="n">
        <v>0</v>
      </c>
      <c r="O110" s="19" t="n">
        <v>0.9859</v>
      </c>
      <c r="P110" s="18" t="s">
        <v>116</v>
      </c>
      <c r="Q110" s="19" t="n">
        <v>0.986</v>
      </c>
      <c r="R110" s="19" t="n">
        <v>0.986</v>
      </c>
      <c r="S110" s="19" t="n">
        <v>0.986</v>
      </c>
      <c r="T110" s="19" t="n">
        <v>0.995</v>
      </c>
      <c r="U110" s="18" t="n">
        <v>5.6</v>
      </c>
      <c r="V110" s="19" t="n">
        <v>0.942</v>
      </c>
      <c r="W110" s="19" t="n">
        <v>0.948</v>
      </c>
      <c r="X110" s="19" t="n">
        <v>0.945</v>
      </c>
      <c r="Y110" s="19" t="n">
        <v>0.979</v>
      </c>
      <c r="Z110" s="18" t="n">
        <v>11</v>
      </c>
      <c r="AA110" s="18" t="n">
        <v>48</v>
      </c>
      <c r="AB110" s="18" t="n">
        <v>1</v>
      </c>
      <c r="AC110" s="18" t="n">
        <v>8.61</v>
      </c>
      <c r="AD110" s="18" t="n">
        <v>47.8</v>
      </c>
      <c r="AE110" s="18" t="n">
        <v>9.1</v>
      </c>
      <c r="AF110" s="18" t="n">
        <v>0.022</v>
      </c>
      <c r="AG110" s="18" t="n">
        <v>0.46</v>
      </c>
      <c r="AH110" s="18" t="n">
        <v>5.1</v>
      </c>
      <c r="AI110" s="18" t="n">
        <v>125</v>
      </c>
      <c r="AJ110" s="18" t="n">
        <v>1274</v>
      </c>
      <c r="AK110" s="18" t="n">
        <v>227</v>
      </c>
      <c r="AL110" s="18" t="n">
        <v>4</v>
      </c>
      <c r="AM110" s="18" t="n">
        <v>5</v>
      </c>
      <c r="AN110" s="20" t="n">
        <v>-0.0696</v>
      </c>
      <c r="AO110" s="20" t="n">
        <v>0.1141</v>
      </c>
      <c r="AP110" s="20" t="n">
        <v>-0.0766</v>
      </c>
      <c r="AQ110" s="20" t="n">
        <v>0.0957</v>
      </c>
      <c r="AR110" s="18" t="n">
        <v>8</v>
      </c>
      <c r="AS110" s="18" t="n">
        <v>11</v>
      </c>
      <c r="AT110" s="18" t="n">
        <v>20</v>
      </c>
      <c r="AU110" s="18" t="n">
        <v>0</v>
      </c>
      <c r="AV110" s="18" t="n">
        <v>74</v>
      </c>
      <c r="AW110" s="18" t="n">
        <v>16.2</v>
      </c>
      <c r="AX110" s="18" t="n">
        <v>91.8</v>
      </c>
      <c r="AY110" s="18" t="s">
        <v>356</v>
      </c>
    </row>
    <row r="111" customFormat="false" ht="15" hidden="false" customHeight="false" outlineLevel="0" collapsed="false">
      <c r="A111" s="18" t="n">
        <v>110</v>
      </c>
      <c r="B111" s="18" t="s">
        <v>357</v>
      </c>
      <c r="C111" s="18" t="s">
        <v>114</v>
      </c>
      <c r="D111" s="18" t="s">
        <v>358</v>
      </c>
      <c r="E111" s="18" t="n">
        <v>0.7</v>
      </c>
      <c r="F111" s="18" t="n">
        <v>-2</v>
      </c>
      <c r="G111" s="18" t="n">
        <v>-0.93</v>
      </c>
      <c r="H111" s="18" t="n">
        <v>0</v>
      </c>
      <c r="I111" s="18" t="n">
        <v>0.7</v>
      </c>
      <c r="J111" s="18" t="n">
        <v>0.6</v>
      </c>
      <c r="K111" s="18" t="n">
        <v>3</v>
      </c>
      <c r="L111" s="18" t="n">
        <v>24</v>
      </c>
      <c r="M111" s="18" t="n">
        <v>20260908</v>
      </c>
      <c r="N111" s="18" t="n">
        <v>0</v>
      </c>
      <c r="O111" s="19" t="n">
        <v>0.9361</v>
      </c>
      <c r="P111" s="18" t="s">
        <v>116</v>
      </c>
      <c r="Q111" s="19" t="n">
        <v>0.934</v>
      </c>
      <c r="R111" s="19" t="n">
        <v>0.938</v>
      </c>
      <c r="S111" s="19" t="n">
        <v>0.936</v>
      </c>
      <c r="T111" s="19" t="n">
        <v>0.98</v>
      </c>
      <c r="U111" s="18" t="n">
        <v>10.2</v>
      </c>
      <c r="V111" s="19" t="n">
        <v>0.885</v>
      </c>
      <c r="W111" s="19" t="n">
        <v>0.892</v>
      </c>
      <c r="X111" s="19" t="n">
        <v>0.889</v>
      </c>
      <c r="Y111" s="19" t="n">
        <v>0.966</v>
      </c>
      <c r="Z111" s="18" t="n">
        <v>13.5</v>
      </c>
      <c r="AA111" s="18" t="n">
        <v>46</v>
      </c>
      <c r="AB111" s="18" t="n">
        <v>0.96</v>
      </c>
      <c r="AC111" s="18" t="n">
        <v>3.47</v>
      </c>
      <c r="AD111" s="18" t="n">
        <v>35.3</v>
      </c>
      <c r="AE111" s="18" t="n">
        <v>11.5</v>
      </c>
      <c r="AF111" s="18" t="n">
        <v>0.037</v>
      </c>
      <c r="AG111" s="18" t="n">
        <v>0.67</v>
      </c>
      <c r="AH111" s="18" t="n">
        <v>8.1</v>
      </c>
      <c r="AI111" s="18" t="n">
        <v>138</v>
      </c>
      <c r="AJ111" s="18" t="n">
        <v>666</v>
      </c>
      <c r="AK111" s="18" t="n">
        <v>219</v>
      </c>
      <c r="AL111" s="18" t="n">
        <v>4</v>
      </c>
      <c r="AM111" s="18" t="n">
        <v>3</v>
      </c>
      <c r="AN111" s="20" t="n">
        <v>-0.0712</v>
      </c>
      <c r="AO111" s="20" t="n">
        <v>0.1626</v>
      </c>
      <c r="AP111" s="20" t="n">
        <v>-0.0694</v>
      </c>
      <c r="AQ111" s="20" t="n">
        <v>0.147</v>
      </c>
      <c r="AR111" s="18" t="n">
        <v>13</v>
      </c>
      <c r="AS111" s="18" t="n">
        <v>11</v>
      </c>
      <c r="AT111" s="18" t="n">
        <v>11</v>
      </c>
      <c r="AU111" s="18" t="n">
        <v>0</v>
      </c>
      <c r="AV111" s="18" t="n">
        <v>95</v>
      </c>
      <c r="AW111" s="18" t="n">
        <v>16.6</v>
      </c>
      <c r="AX111" s="18" t="n">
        <v>113.2</v>
      </c>
      <c r="AY111" s="18" t="s">
        <v>359</v>
      </c>
    </row>
    <row r="112" customFormat="false" ht="15" hidden="false" customHeight="false" outlineLevel="0" collapsed="false">
      <c r="A112" s="18" t="n">
        <v>111</v>
      </c>
      <c r="B112" s="18" t="s">
        <v>360</v>
      </c>
      <c r="C112" s="18" t="s">
        <v>114</v>
      </c>
      <c r="D112" s="18" t="s">
        <v>349</v>
      </c>
      <c r="E112" s="18" t="n">
        <v>0.7</v>
      </c>
      <c r="F112" s="18" t="n">
        <v>-1.25</v>
      </c>
      <c r="G112" s="18" t="n">
        <v>-0.93</v>
      </c>
      <c r="H112" s="18" t="n">
        <v>0</v>
      </c>
      <c r="I112" s="18" t="n">
        <v>0.7</v>
      </c>
      <c r="J112" s="18" t="n">
        <v>0.6</v>
      </c>
      <c r="K112" s="18" t="n">
        <v>3</v>
      </c>
      <c r="L112" s="18" t="n">
        <v>24</v>
      </c>
      <c r="M112" s="18" t="n">
        <v>20260916</v>
      </c>
      <c r="N112" s="18" t="n">
        <v>0</v>
      </c>
      <c r="O112" s="19" t="n">
        <v>0.9873</v>
      </c>
      <c r="P112" s="18" t="s">
        <v>116</v>
      </c>
      <c r="Q112" s="19" t="n">
        <v>0.985</v>
      </c>
      <c r="R112" s="19" t="n">
        <v>0.99</v>
      </c>
      <c r="S112" s="19" t="n">
        <v>0.987</v>
      </c>
      <c r="T112" s="19" t="n">
        <v>0.995</v>
      </c>
      <c r="U112" s="18" t="n">
        <v>5.1</v>
      </c>
      <c r="V112" s="19" t="n">
        <v>0.979</v>
      </c>
      <c r="W112" s="19" t="n">
        <v>0.987</v>
      </c>
      <c r="X112" s="19" t="n">
        <v>0.983</v>
      </c>
      <c r="Y112" s="19" t="n">
        <v>0.993</v>
      </c>
      <c r="Z112" s="18" t="n">
        <v>6</v>
      </c>
      <c r="AA112" s="18" t="n">
        <v>48</v>
      </c>
      <c r="AB112" s="18" t="n">
        <v>1</v>
      </c>
      <c r="AC112" s="18" t="n">
        <v>9.02</v>
      </c>
      <c r="AD112" s="18" t="n">
        <v>46</v>
      </c>
      <c r="AE112" s="18" t="n">
        <v>7.7</v>
      </c>
      <c r="AF112" s="18" t="n">
        <v>-0.009</v>
      </c>
      <c r="AG112" s="18" t="n">
        <v>0.58</v>
      </c>
      <c r="AH112" s="18" t="n">
        <v>5.7</v>
      </c>
      <c r="AI112" s="18" t="n">
        <v>123</v>
      </c>
      <c r="AJ112" s="18" t="n">
        <v>2109</v>
      </c>
      <c r="AK112" s="18" t="n">
        <v>187</v>
      </c>
      <c r="AL112" s="18" t="n">
        <v>2</v>
      </c>
      <c r="AM112" s="18" t="n">
        <v>7</v>
      </c>
      <c r="AN112" s="20" t="n">
        <v>-0.0461</v>
      </c>
      <c r="AO112" s="20" t="n">
        <v>0.0566</v>
      </c>
      <c r="AP112" s="20" t="n">
        <v>-0.0471</v>
      </c>
      <c r="AQ112" s="20" t="n">
        <v>0.0384</v>
      </c>
      <c r="AR112" s="18" t="n">
        <v>7</v>
      </c>
      <c r="AS112" s="18" t="n">
        <v>12</v>
      </c>
      <c r="AT112" s="18" t="n">
        <v>15</v>
      </c>
      <c r="AU112" s="18" t="n">
        <v>0</v>
      </c>
      <c r="AV112" s="18" t="n">
        <v>78</v>
      </c>
      <c r="AW112" s="18" t="n">
        <v>16.5</v>
      </c>
      <c r="AX112" s="18" t="n">
        <v>95.6</v>
      </c>
      <c r="AY112" s="18" t="s">
        <v>361</v>
      </c>
    </row>
    <row r="113" customFormat="false" ht="15" hidden="false" customHeight="false" outlineLevel="0" collapsed="false">
      <c r="A113" s="18" t="n">
        <v>112</v>
      </c>
      <c r="B113" s="18" t="s">
        <v>362</v>
      </c>
      <c r="C113" s="18" t="s">
        <v>114</v>
      </c>
      <c r="D113" s="18" t="s">
        <v>352</v>
      </c>
      <c r="E113" s="18" t="n">
        <v>0.7</v>
      </c>
      <c r="F113" s="18" t="n">
        <v>-1.5</v>
      </c>
      <c r="G113" s="18" t="n">
        <v>-0.93</v>
      </c>
      <c r="H113" s="18" t="n">
        <v>0</v>
      </c>
      <c r="I113" s="18" t="n">
        <v>0.7</v>
      </c>
      <c r="J113" s="18" t="n">
        <v>0.6</v>
      </c>
      <c r="K113" s="18" t="n">
        <v>3</v>
      </c>
      <c r="L113" s="18" t="n">
        <v>24</v>
      </c>
      <c r="M113" s="18" t="n">
        <v>20260910</v>
      </c>
      <c r="N113" s="18" t="n">
        <v>0</v>
      </c>
      <c r="O113" s="19" t="n">
        <v>0.9891</v>
      </c>
      <c r="P113" s="18" t="s">
        <v>116</v>
      </c>
      <c r="Q113" s="19" t="n">
        <v>0.983</v>
      </c>
      <c r="R113" s="19" t="n">
        <v>0.995</v>
      </c>
      <c r="S113" s="19" t="n">
        <v>0.989</v>
      </c>
      <c r="T113" s="19" t="n">
        <v>0.996</v>
      </c>
      <c r="U113" s="18" t="n">
        <v>4.6</v>
      </c>
      <c r="V113" s="19" t="n">
        <v>0.967</v>
      </c>
      <c r="W113" s="19" t="n">
        <v>0.975</v>
      </c>
      <c r="X113" s="19" t="n">
        <v>0.971</v>
      </c>
      <c r="Y113" s="19" t="n">
        <v>0.989</v>
      </c>
      <c r="Z113" s="18" t="n">
        <v>7.5</v>
      </c>
      <c r="AA113" s="18" t="n">
        <v>48</v>
      </c>
      <c r="AB113" s="18" t="n">
        <v>1</v>
      </c>
      <c r="AC113" s="18" t="n">
        <v>9.76</v>
      </c>
      <c r="AD113" s="18" t="n">
        <v>44.8</v>
      </c>
      <c r="AE113" s="18" t="n">
        <v>8.2</v>
      </c>
      <c r="AF113" s="18" t="n">
        <v>0</v>
      </c>
      <c r="AG113" s="18" t="n">
        <v>0.46</v>
      </c>
      <c r="AH113" s="18" t="n">
        <v>4.2</v>
      </c>
      <c r="AI113" s="18" t="n">
        <v>128</v>
      </c>
      <c r="AJ113" s="18" t="n">
        <v>1753</v>
      </c>
      <c r="AK113" s="18" t="n">
        <v>207</v>
      </c>
      <c r="AL113" s="18" t="n">
        <v>3</v>
      </c>
      <c r="AM113" s="18" t="n">
        <v>4</v>
      </c>
      <c r="AN113" s="20" t="n">
        <v>-0.0625</v>
      </c>
      <c r="AO113" s="20" t="n">
        <v>0.0711</v>
      </c>
      <c r="AP113" s="20" t="n">
        <v>-0.0564</v>
      </c>
      <c r="AQ113" s="20" t="n">
        <v>0.0722</v>
      </c>
      <c r="AR113" s="18" t="n">
        <v>9</v>
      </c>
      <c r="AS113" s="18" t="n">
        <v>8</v>
      </c>
      <c r="AT113" s="18" t="n">
        <v>7</v>
      </c>
      <c r="AU113" s="18" t="n">
        <v>0</v>
      </c>
      <c r="AV113" s="18" t="n">
        <v>114</v>
      </c>
      <c r="AW113" s="18" t="n">
        <v>16.5</v>
      </c>
      <c r="AX113" s="18" t="n">
        <v>193.3</v>
      </c>
      <c r="AY113" s="18" t="s">
        <v>363</v>
      </c>
    </row>
    <row r="114" customFormat="false" ht="15" hidden="false" customHeight="false" outlineLevel="0" collapsed="false">
      <c r="A114" s="18" t="n">
        <v>113</v>
      </c>
      <c r="B114" s="18" t="s">
        <v>364</v>
      </c>
      <c r="C114" s="18" t="s">
        <v>114</v>
      </c>
      <c r="D114" s="18" t="s">
        <v>355</v>
      </c>
      <c r="E114" s="18" t="n">
        <v>0.7</v>
      </c>
      <c r="F114" s="18" t="n">
        <v>-1.75</v>
      </c>
      <c r="G114" s="18" t="n">
        <v>-0.93</v>
      </c>
      <c r="H114" s="18" t="n">
        <v>0</v>
      </c>
      <c r="I114" s="18" t="n">
        <v>0.7</v>
      </c>
      <c r="J114" s="18" t="n">
        <v>0.6</v>
      </c>
      <c r="K114" s="18" t="n">
        <v>3</v>
      </c>
      <c r="L114" s="18" t="n">
        <v>24</v>
      </c>
      <c r="M114" s="18" t="n">
        <v>20260913</v>
      </c>
      <c r="N114" s="18" t="n">
        <v>0</v>
      </c>
      <c r="O114" s="19" t="n">
        <v>0.9794</v>
      </c>
      <c r="P114" s="18" t="s">
        <v>116</v>
      </c>
      <c r="Q114" s="19" t="n">
        <v>0.974</v>
      </c>
      <c r="R114" s="19" t="n">
        <v>0.985</v>
      </c>
      <c r="S114" s="19" t="n">
        <v>0.979</v>
      </c>
      <c r="T114" s="19" t="n">
        <v>0.992</v>
      </c>
      <c r="U114" s="18" t="n">
        <v>6.9</v>
      </c>
      <c r="V114" s="19" t="n">
        <v>0.961</v>
      </c>
      <c r="W114" s="19" t="n">
        <v>0.983</v>
      </c>
      <c r="X114" s="19" t="n">
        <v>0.972</v>
      </c>
      <c r="Y114" s="19" t="n">
        <v>0.989</v>
      </c>
      <c r="Z114" s="18" t="n">
        <v>8.2</v>
      </c>
      <c r="AA114" s="18" t="n">
        <v>44</v>
      </c>
      <c r="AB114" s="18" t="n">
        <v>0.92</v>
      </c>
      <c r="AC114" s="18" t="n">
        <v>6.99</v>
      </c>
      <c r="AD114" s="18" t="n">
        <v>48.3</v>
      </c>
      <c r="AE114" s="18" t="n">
        <v>9</v>
      </c>
      <c r="AF114" s="18" t="n">
        <v>0.017</v>
      </c>
      <c r="AG114" s="18" t="n">
        <v>0.5</v>
      </c>
      <c r="AH114" s="18" t="n">
        <v>5.8</v>
      </c>
      <c r="AI114" s="18" t="n">
        <v>124</v>
      </c>
      <c r="AJ114" s="18" t="n">
        <v>1291</v>
      </c>
      <c r="AK114" s="18" t="n">
        <v>221</v>
      </c>
      <c r="AL114" s="18" t="n">
        <v>3</v>
      </c>
      <c r="AM114" s="18" t="n">
        <v>9</v>
      </c>
      <c r="AN114" s="20" t="n">
        <v>-0.0632</v>
      </c>
      <c r="AO114" s="20" t="n">
        <v>0.1236</v>
      </c>
      <c r="AP114" s="20" t="n">
        <v>-0.0792</v>
      </c>
      <c r="AQ114" s="20" t="n">
        <v>0.1007</v>
      </c>
      <c r="AR114" s="18" t="n">
        <v>8</v>
      </c>
      <c r="AS114" s="18" t="n">
        <v>22</v>
      </c>
      <c r="AT114" s="18" t="n">
        <v>3</v>
      </c>
      <c r="AU114" s="18" t="n">
        <v>0</v>
      </c>
      <c r="AV114" s="18" t="n">
        <v>133</v>
      </c>
      <c r="AW114" s="18" t="n">
        <v>15.5</v>
      </c>
      <c r="AX114" s="18" t="n">
        <v>150</v>
      </c>
      <c r="AY114" s="18" t="s">
        <v>365</v>
      </c>
    </row>
    <row r="115" customFormat="false" ht="15" hidden="false" customHeight="false" outlineLevel="0" collapsed="false">
      <c r="A115" s="18" t="n">
        <v>114</v>
      </c>
      <c r="B115" s="18" t="s">
        <v>366</v>
      </c>
      <c r="C115" s="18" t="s">
        <v>114</v>
      </c>
      <c r="D115" s="18" t="s">
        <v>358</v>
      </c>
      <c r="E115" s="18" t="n">
        <v>0.7</v>
      </c>
      <c r="F115" s="18" t="n">
        <v>-2</v>
      </c>
      <c r="G115" s="18" t="n">
        <v>-0.93</v>
      </c>
      <c r="H115" s="18" t="n">
        <v>0</v>
      </c>
      <c r="I115" s="18" t="n">
        <v>0.7</v>
      </c>
      <c r="J115" s="18" t="n">
        <v>0.6</v>
      </c>
      <c r="K115" s="18" t="n">
        <v>3</v>
      </c>
      <c r="L115" s="18" t="n">
        <v>24</v>
      </c>
      <c r="M115" s="18" t="n">
        <v>20260909</v>
      </c>
      <c r="N115" s="18" t="n">
        <v>0</v>
      </c>
      <c r="O115" s="19" t="n">
        <v>0.9812</v>
      </c>
      <c r="P115" s="18" t="s">
        <v>116</v>
      </c>
      <c r="Q115" s="19" t="n">
        <v>0.975</v>
      </c>
      <c r="R115" s="19" t="n">
        <v>0.987</v>
      </c>
      <c r="S115" s="19" t="n">
        <v>0.981</v>
      </c>
      <c r="T115" s="19" t="n">
        <v>0.992</v>
      </c>
      <c r="U115" s="18" t="n">
        <v>7.1</v>
      </c>
      <c r="V115" s="19" t="n">
        <v>0.969</v>
      </c>
      <c r="W115" s="19" t="n">
        <v>0.98</v>
      </c>
      <c r="X115" s="19" t="n">
        <v>0.975</v>
      </c>
      <c r="Y115" s="19" t="n">
        <v>0.989</v>
      </c>
      <c r="Z115" s="18" t="n">
        <v>8.3</v>
      </c>
      <c r="AA115" s="18" t="n">
        <v>48</v>
      </c>
      <c r="AB115" s="18" t="n">
        <v>1</v>
      </c>
      <c r="AC115" s="18" t="n">
        <v>7.23</v>
      </c>
      <c r="AD115" s="18" t="n">
        <v>51.5</v>
      </c>
      <c r="AE115" s="18" t="n">
        <v>10.4</v>
      </c>
      <c r="AF115" s="18" t="n">
        <v>-0.013</v>
      </c>
      <c r="AG115" s="18" t="n">
        <v>0.5</v>
      </c>
      <c r="AH115" s="18" t="n">
        <v>5.8</v>
      </c>
      <c r="AI115" s="18" t="n">
        <v>146</v>
      </c>
      <c r="AJ115" s="18" t="n">
        <v>680</v>
      </c>
      <c r="AK115" s="18" t="n">
        <v>233</v>
      </c>
      <c r="AL115" s="18" t="n">
        <v>4</v>
      </c>
      <c r="AM115" s="18" t="n">
        <v>6</v>
      </c>
      <c r="AN115" s="20" t="n">
        <v>-0.0909</v>
      </c>
      <c r="AO115" s="20" t="n">
        <v>0.1497</v>
      </c>
      <c r="AP115" s="20" t="n">
        <v>-0.0756</v>
      </c>
      <c r="AQ115" s="20" t="n">
        <v>0.1368</v>
      </c>
      <c r="AR115" s="18" t="n">
        <v>8</v>
      </c>
      <c r="AS115" s="18" t="n">
        <v>12</v>
      </c>
      <c r="AT115" s="18" t="n">
        <v>9</v>
      </c>
      <c r="AU115" s="18" t="n">
        <v>0</v>
      </c>
      <c r="AV115" s="18" t="n">
        <v>59</v>
      </c>
      <c r="AW115" s="18" t="n">
        <v>16.2</v>
      </c>
      <c r="AX115" s="18" t="n">
        <v>76</v>
      </c>
      <c r="AY115" s="18" t="s">
        <v>367</v>
      </c>
    </row>
    <row r="116" customFormat="false" ht="15" hidden="false" customHeight="false" outlineLevel="0" collapsed="false">
      <c r="A116" s="18" t="n">
        <v>115</v>
      </c>
      <c r="B116" s="18" t="s">
        <v>368</v>
      </c>
      <c r="C116" s="18" t="s">
        <v>114</v>
      </c>
      <c r="D116" s="18" t="s">
        <v>349</v>
      </c>
      <c r="E116" s="18" t="n">
        <v>0.7</v>
      </c>
      <c r="F116" s="18" t="n">
        <v>-1.25</v>
      </c>
      <c r="G116" s="18" t="n">
        <v>-0.93</v>
      </c>
      <c r="H116" s="18" t="n">
        <v>0</v>
      </c>
      <c r="I116" s="18" t="n">
        <v>0.7</v>
      </c>
      <c r="J116" s="18" t="n">
        <v>0.6</v>
      </c>
      <c r="K116" s="18" t="n">
        <v>3</v>
      </c>
      <c r="L116" s="18" t="n">
        <v>24</v>
      </c>
      <c r="M116" s="18" t="n">
        <v>20260917</v>
      </c>
      <c r="N116" s="18" t="n">
        <v>0</v>
      </c>
      <c r="O116" s="19" t="n">
        <v>0.9763</v>
      </c>
      <c r="P116" s="18" t="s">
        <v>116</v>
      </c>
      <c r="Q116" s="19" t="n">
        <v>0.964</v>
      </c>
      <c r="R116" s="19" t="n">
        <v>0.989</v>
      </c>
      <c r="S116" s="19" t="n">
        <v>0.976</v>
      </c>
      <c r="T116" s="19" t="n">
        <v>0.993</v>
      </c>
      <c r="U116" s="18" t="n">
        <v>5.4</v>
      </c>
      <c r="V116" s="19" t="n">
        <v>0.941</v>
      </c>
      <c r="W116" s="19" t="n">
        <v>0.943</v>
      </c>
      <c r="X116" s="19" t="n">
        <v>0.942</v>
      </c>
      <c r="Y116" s="19" t="n">
        <v>0.982</v>
      </c>
      <c r="Z116" s="18" t="n">
        <v>8.7</v>
      </c>
      <c r="AA116" s="18" t="n">
        <v>46</v>
      </c>
      <c r="AB116" s="18" t="n">
        <v>0.96</v>
      </c>
      <c r="AC116" s="18" t="n">
        <v>6.78</v>
      </c>
      <c r="AD116" s="18" t="n">
        <v>36.8</v>
      </c>
      <c r="AE116" s="18" t="n">
        <v>6.3</v>
      </c>
      <c r="AF116" s="18" t="n">
        <v>-0.036</v>
      </c>
      <c r="AG116" s="18" t="n">
        <v>0.58</v>
      </c>
      <c r="AH116" s="18" t="n">
        <v>5.7</v>
      </c>
      <c r="AI116" s="18" t="n">
        <v>127</v>
      </c>
      <c r="AJ116" s="18" t="n">
        <v>2117</v>
      </c>
      <c r="AK116" s="18" t="n">
        <v>184</v>
      </c>
      <c r="AL116" s="18" t="n">
        <v>4</v>
      </c>
      <c r="AM116" s="18" t="n">
        <v>5</v>
      </c>
      <c r="AN116" s="20" t="n">
        <v>-0.0584</v>
      </c>
      <c r="AO116" s="20" t="n">
        <v>0.0434</v>
      </c>
      <c r="AP116" s="20" t="n">
        <v>-0.0514</v>
      </c>
      <c r="AQ116" s="20" t="n">
        <v>0.0285</v>
      </c>
      <c r="AR116" s="18" t="n">
        <v>12</v>
      </c>
      <c r="AS116" s="18" t="n">
        <v>28</v>
      </c>
      <c r="AT116" s="18" t="n">
        <v>13</v>
      </c>
      <c r="AU116" s="18" t="n">
        <v>0</v>
      </c>
      <c r="AV116" s="18" t="n">
        <v>97</v>
      </c>
      <c r="AW116" s="18" t="n">
        <v>16</v>
      </c>
      <c r="AX116" s="18" t="n">
        <v>114.2</v>
      </c>
      <c r="AY116" s="18" t="s">
        <v>369</v>
      </c>
    </row>
    <row r="117" customFormat="false" ht="15" hidden="false" customHeight="false" outlineLevel="0" collapsed="false">
      <c r="A117" s="18" t="n">
        <v>116</v>
      </c>
      <c r="B117" s="18" t="s">
        <v>370</v>
      </c>
      <c r="C117" s="18" t="s">
        <v>114</v>
      </c>
      <c r="D117" s="18" t="s">
        <v>352</v>
      </c>
      <c r="E117" s="18" t="n">
        <v>0.7</v>
      </c>
      <c r="F117" s="18" t="n">
        <v>-1.5</v>
      </c>
      <c r="G117" s="18" t="n">
        <v>-0.93</v>
      </c>
      <c r="H117" s="18" t="n">
        <v>0</v>
      </c>
      <c r="I117" s="18" t="n">
        <v>0.7</v>
      </c>
      <c r="J117" s="18" t="n">
        <v>0.6</v>
      </c>
      <c r="K117" s="18" t="n">
        <v>3</v>
      </c>
      <c r="L117" s="18" t="n">
        <v>24</v>
      </c>
      <c r="M117" s="18" t="n">
        <v>20260911</v>
      </c>
      <c r="N117" s="18" t="n">
        <v>0</v>
      </c>
      <c r="O117" s="19" t="n">
        <v>0.9771</v>
      </c>
      <c r="P117" s="18" t="s">
        <v>116</v>
      </c>
      <c r="Q117" s="19" t="n">
        <v>0.98</v>
      </c>
      <c r="R117" s="19" t="n">
        <v>0.974</v>
      </c>
      <c r="S117" s="19" t="n">
        <v>0.977</v>
      </c>
      <c r="T117" s="19" t="n">
        <v>0.992</v>
      </c>
      <c r="U117" s="18" t="n">
        <v>6.1</v>
      </c>
      <c r="V117" s="19" t="n">
        <v>0.967</v>
      </c>
      <c r="W117" s="19" t="n">
        <v>0.874</v>
      </c>
      <c r="X117" s="19" t="n">
        <v>0.92</v>
      </c>
      <c r="Y117" s="19" t="n">
        <v>0.973</v>
      </c>
      <c r="Z117" s="18" t="n">
        <v>11.3</v>
      </c>
      <c r="AA117" s="18" t="n">
        <v>48</v>
      </c>
      <c r="AB117" s="18" t="n">
        <v>1</v>
      </c>
      <c r="AC117" s="18" t="n">
        <v>6.71</v>
      </c>
      <c r="AD117" s="18" t="n">
        <v>40.7</v>
      </c>
      <c r="AE117" s="18" t="n">
        <v>7.6</v>
      </c>
      <c r="AF117" s="18" t="n">
        <v>0.006</v>
      </c>
      <c r="AG117" s="18" t="n">
        <v>0.54</v>
      </c>
      <c r="AH117" s="18" t="n">
        <v>4.2</v>
      </c>
      <c r="AI117" s="18" t="n">
        <v>138</v>
      </c>
      <c r="AJ117" s="18" t="n">
        <v>1735</v>
      </c>
      <c r="AK117" s="18" t="n">
        <v>205</v>
      </c>
      <c r="AL117" s="18" t="n">
        <v>6</v>
      </c>
      <c r="AM117" s="18" t="n">
        <v>7</v>
      </c>
      <c r="AN117" s="20" t="n">
        <v>-0.0668</v>
      </c>
      <c r="AO117" s="20" t="n">
        <v>0.0757</v>
      </c>
      <c r="AP117" s="20" t="n">
        <v>-0.0519</v>
      </c>
      <c r="AQ117" s="20" t="n">
        <v>0.0633</v>
      </c>
      <c r="AR117" s="18" t="n">
        <v>6</v>
      </c>
      <c r="AS117" s="18" t="n">
        <v>15</v>
      </c>
      <c r="AT117" s="18" t="n">
        <v>10</v>
      </c>
      <c r="AU117" s="18" t="n">
        <v>0</v>
      </c>
      <c r="AV117" s="18" t="n">
        <v>96</v>
      </c>
      <c r="AW117" s="18" t="n">
        <v>15.7</v>
      </c>
      <c r="AX117" s="18" t="n">
        <v>112.1</v>
      </c>
      <c r="AY117" s="18" t="s">
        <v>371</v>
      </c>
    </row>
    <row r="118" customFormat="false" ht="15" hidden="false" customHeight="false" outlineLevel="0" collapsed="false">
      <c r="A118" s="18" t="n">
        <v>117</v>
      </c>
      <c r="B118" s="18" t="s">
        <v>372</v>
      </c>
      <c r="C118" s="18" t="s">
        <v>114</v>
      </c>
      <c r="D118" s="18" t="s">
        <v>355</v>
      </c>
      <c r="E118" s="18" t="n">
        <v>0.7</v>
      </c>
      <c r="F118" s="18" t="n">
        <v>-1.75</v>
      </c>
      <c r="G118" s="18" t="n">
        <v>-0.93</v>
      </c>
      <c r="H118" s="18" t="n">
        <v>0</v>
      </c>
      <c r="I118" s="18" t="n">
        <v>0.7</v>
      </c>
      <c r="J118" s="18" t="n">
        <v>0.6</v>
      </c>
      <c r="K118" s="18" t="n">
        <v>3</v>
      </c>
      <c r="L118" s="18" t="n">
        <v>24</v>
      </c>
      <c r="M118" s="18" t="n">
        <v>20260914</v>
      </c>
      <c r="N118" s="18" t="n">
        <v>0</v>
      </c>
      <c r="O118" s="19" t="n">
        <v>0.9852</v>
      </c>
      <c r="P118" s="18" t="s">
        <v>116</v>
      </c>
      <c r="Q118" s="19" t="n">
        <v>0.983</v>
      </c>
      <c r="R118" s="19" t="n">
        <v>0.987</v>
      </c>
      <c r="S118" s="19" t="n">
        <v>0.985</v>
      </c>
      <c r="T118" s="19" t="n">
        <v>0.995</v>
      </c>
      <c r="U118" s="18" t="n">
        <v>5.3</v>
      </c>
      <c r="V118" s="19" t="n">
        <v>0.957</v>
      </c>
      <c r="W118" s="19" t="n">
        <v>0.98</v>
      </c>
      <c r="X118" s="19" t="n">
        <v>0.968</v>
      </c>
      <c r="Y118" s="19" t="n">
        <v>0.989</v>
      </c>
      <c r="Z118" s="18" t="n">
        <v>7.7</v>
      </c>
      <c r="AA118" s="18" t="n">
        <v>48</v>
      </c>
      <c r="AB118" s="18" t="n">
        <v>1</v>
      </c>
      <c r="AC118" s="18" t="n">
        <v>8.67</v>
      </c>
      <c r="AD118" s="18" t="n">
        <v>45.6</v>
      </c>
      <c r="AE118" s="18" t="n">
        <v>8.7</v>
      </c>
      <c r="AF118" s="18" t="n">
        <v>-0.016</v>
      </c>
      <c r="AG118" s="18" t="n">
        <v>0.62</v>
      </c>
      <c r="AH118" s="18" t="n">
        <v>5.7</v>
      </c>
      <c r="AI118" s="18" t="n">
        <v>145</v>
      </c>
      <c r="AJ118" s="18" t="n">
        <v>1262</v>
      </c>
      <c r="AK118" s="18" t="n">
        <v>228</v>
      </c>
      <c r="AL118" s="18" t="n">
        <v>3</v>
      </c>
      <c r="AM118" s="18" t="n">
        <v>6</v>
      </c>
      <c r="AN118" s="20" t="n">
        <v>-0.0701</v>
      </c>
      <c r="AO118" s="20" t="n">
        <v>0.1132</v>
      </c>
      <c r="AP118" s="20" t="n">
        <v>-0.066</v>
      </c>
      <c r="AQ118" s="20" t="n">
        <v>0.0981</v>
      </c>
      <c r="AR118" s="18" t="n">
        <v>7</v>
      </c>
      <c r="AS118" s="18" t="n">
        <v>5</v>
      </c>
      <c r="AT118" s="18" t="n">
        <v>4</v>
      </c>
      <c r="AU118" s="18" t="n">
        <v>0</v>
      </c>
      <c r="AV118" s="18" t="n">
        <v>60</v>
      </c>
      <c r="AW118" s="18" t="n">
        <v>16.8</v>
      </c>
      <c r="AX118" s="18" t="n">
        <v>78</v>
      </c>
      <c r="AY118" s="18" t="s">
        <v>373</v>
      </c>
    </row>
    <row r="119" customFormat="false" ht="15" hidden="false" customHeight="false" outlineLevel="0" collapsed="false">
      <c r="A119" s="18" t="n">
        <v>118</v>
      </c>
      <c r="B119" s="18" t="s">
        <v>374</v>
      </c>
      <c r="C119" s="18" t="s">
        <v>114</v>
      </c>
      <c r="D119" s="18" t="s">
        <v>358</v>
      </c>
      <c r="E119" s="18" t="n">
        <v>0.7</v>
      </c>
      <c r="F119" s="18" t="n">
        <v>-2</v>
      </c>
      <c r="G119" s="18" t="n">
        <v>-0.93</v>
      </c>
      <c r="H119" s="18" t="n">
        <v>0</v>
      </c>
      <c r="I119" s="18" t="n">
        <v>0.7</v>
      </c>
      <c r="J119" s="18" t="n">
        <v>0.6</v>
      </c>
      <c r="K119" s="18" t="n">
        <v>3</v>
      </c>
      <c r="L119" s="18" t="n">
        <v>24</v>
      </c>
      <c r="M119" s="18" t="n">
        <v>20260910</v>
      </c>
      <c r="N119" s="18" t="n">
        <v>0</v>
      </c>
      <c r="O119" s="19" t="n">
        <v>0.9678</v>
      </c>
      <c r="P119" s="18" t="s">
        <v>116</v>
      </c>
      <c r="Q119" s="19" t="n">
        <v>0.961</v>
      </c>
      <c r="R119" s="19" t="n">
        <v>0.974</v>
      </c>
      <c r="S119" s="19" t="n">
        <v>0.968</v>
      </c>
      <c r="T119" s="19" t="n">
        <v>0.987</v>
      </c>
      <c r="U119" s="18" t="n">
        <v>8.8</v>
      </c>
      <c r="V119" s="19" t="n">
        <v>0.943</v>
      </c>
      <c r="W119" s="19" t="n">
        <v>0.959</v>
      </c>
      <c r="X119" s="19" t="n">
        <v>0.951</v>
      </c>
      <c r="Y119" s="19" t="n">
        <v>0.981</v>
      </c>
      <c r="Z119" s="18" t="n">
        <v>10.9</v>
      </c>
      <c r="AA119" s="18" t="n">
        <v>48</v>
      </c>
      <c r="AB119" s="18" t="n">
        <v>1</v>
      </c>
      <c r="AC119" s="18" t="n">
        <v>5.85</v>
      </c>
      <c r="AD119" s="18" t="n">
        <v>51.5</v>
      </c>
      <c r="AE119" s="18" t="n">
        <v>10.8</v>
      </c>
      <c r="AF119" s="18" t="n">
        <v>-0.004</v>
      </c>
      <c r="AG119" s="18" t="n">
        <v>0.62</v>
      </c>
      <c r="AH119" s="18" t="n">
        <v>7.4</v>
      </c>
      <c r="AI119" s="18" t="n">
        <v>125</v>
      </c>
      <c r="AJ119" s="18" t="n">
        <v>696</v>
      </c>
      <c r="AK119" s="18" t="n">
        <v>235</v>
      </c>
      <c r="AL119" s="18" t="n">
        <v>5</v>
      </c>
      <c r="AM119" s="18" t="n">
        <v>12</v>
      </c>
      <c r="AN119" s="20" t="n">
        <v>-0.1124</v>
      </c>
      <c r="AO119" s="20" t="n">
        <v>0.1455</v>
      </c>
      <c r="AP119" s="20" t="n">
        <v>-0.1</v>
      </c>
      <c r="AQ119" s="20" t="n">
        <v>0.1386</v>
      </c>
      <c r="AR119" s="18" t="n">
        <v>9</v>
      </c>
      <c r="AS119" s="18" t="n">
        <v>28</v>
      </c>
      <c r="AT119" s="18" t="n">
        <v>12</v>
      </c>
      <c r="AU119" s="18" t="n">
        <v>0</v>
      </c>
      <c r="AV119" s="18" t="n">
        <v>135</v>
      </c>
      <c r="AW119" s="18" t="n">
        <v>15.9</v>
      </c>
      <c r="AX119" s="18" t="n">
        <v>274.7</v>
      </c>
      <c r="AY119" s="18" t="s">
        <v>375</v>
      </c>
    </row>
    <row r="120" customFormat="false" ht="15" hidden="false" customHeight="false" outlineLevel="0" collapsed="false">
      <c r="A120" s="18" t="n">
        <v>119</v>
      </c>
      <c r="B120" s="18" t="s">
        <v>376</v>
      </c>
      <c r="C120" s="18" t="s">
        <v>114</v>
      </c>
      <c r="D120" s="18" t="s">
        <v>349</v>
      </c>
      <c r="E120" s="18" t="n">
        <v>0.7</v>
      </c>
      <c r="F120" s="18" t="n">
        <v>-1.25</v>
      </c>
      <c r="G120" s="18" t="n">
        <v>-0.93</v>
      </c>
      <c r="H120" s="18" t="n">
        <v>0</v>
      </c>
      <c r="I120" s="18" t="n">
        <v>0.7</v>
      </c>
      <c r="J120" s="18" t="n">
        <v>0.6</v>
      </c>
      <c r="K120" s="18" t="n">
        <v>3</v>
      </c>
      <c r="L120" s="18" t="n">
        <v>24</v>
      </c>
      <c r="M120" s="18" t="n">
        <v>20260918</v>
      </c>
      <c r="N120" s="18" t="n">
        <v>0</v>
      </c>
      <c r="O120" s="19" t="n">
        <v>0.9716</v>
      </c>
      <c r="P120" s="18" t="s">
        <v>116</v>
      </c>
      <c r="Q120" s="19" t="n">
        <v>0.971</v>
      </c>
      <c r="R120" s="19" t="n">
        <v>0.972</v>
      </c>
      <c r="S120" s="19" t="n">
        <v>0.972</v>
      </c>
      <c r="T120" s="19" t="n">
        <v>0.991</v>
      </c>
      <c r="U120" s="18" t="n">
        <v>5.8</v>
      </c>
      <c r="V120" s="19" t="n">
        <v>0.955</v>
      </c>
      <c r="W120" s="19" t="n">
        <v>0.945</v>
      </c>
      <c r="X120" s="19" t="n">
        <v>0.95</v>
      </c>
      <c r="Y120" s="19" t="n">
        <v>0.985</v>
      </c>
      <c r="Z120" s="18" t="n">
        <v>7.8</v>
      </c>
      <c r="AA120" s="18" t="n">
        <v>44</v>
      </c>
      <c r="AB120" s="18" t="n">
        <v>0.92</v>
      </c>
      <c r="AC120" s="18" t="n">
        <v>6.1</v>
      </c>
      <c r="AD120" s="18" t="n">
        <v>35.5</v>
      </c>
      <c r="AE120" s="18" t="n">
        <v>8.7</v>
      </c>
      <c r="AF120" s="18" t="n">
        <v>0.006</v>
      </c>
      <c r="AG120" s="18" t="n">
        <v>0.62</v>
      </c>
      <c r="AH120" s="18" t="n">
        <v>5.9</v>
      </c>
      <c r="AI120" s="18" t="n">
        <v>109</v>
      </c>
      <c r="AJ120" s="18" t="n">
        <v>2081</v>
      </c>
      <c r="AK120" s="18" t="n">
        <v>190</v>
      </c>
      <c r="AL120" s="18" t="n">
        <v>4</v>
      </c>
      <c r="AM120" s="18" t="n">
        <v>18</v>
      </c>
      <c r="AN120" s="20" t="n">
        <v>-0.0524</v>
      </c>
      <c r="AO120" s="20" t="n">
        <v>0.0505</v>
      </c>
      <c r="AP120" s="20" t="n">
        <v>-0.045</v>
      </c>
      <c r="AQ120" s="20" t="n">
        <v>0.0403</v>
      </c>
      <c r="AR120" s="18" t="n">
        <v>9</v>
      </c>
      <c r="AS120" s="18" t="n">
        <v>23</v>
      </c>
      <c r="AT120" s="18" t="n">
        <v>21</v>
      </c>
      <c r="AU120" s="18" t="n">
        <v>0</v>
      </c>
      <c r="AV120" s="18" t="n">
        <v>97</v>
      </c>
      <c r="AW120" s="18" t="n">
        <v>16.5</v>
      </c>
      <c r="AX120" s="18" t="n">
        <v>115.1</v>
      </c>
      <c r="AY120" s="18" t="s">
        <v>377</v>
      </c>
    </row>
    <row r="121" customFormat="false" ht="15" hidden="false" customHeight="false" outlineLevel="0" collapsed="false">
      <c r="A121" s="18" t="n">
        <v>120</v>
      </c>
      <c r="B121" s="18" t="s">
        <v>378</v>
      </c>
      <c r="C121" s="18" t="s">
        <v>114</v>
      </c>
      <c r="D121" s="18" t="s">
        <v>352</v>
      </c>
      <c r="E121" s="18" t="n">
        <v>0.7</v>
      </c>
      <c r="F121" s="18" t="n">
        <v>-1.5</v>
      </c>
      <c r="G121" s="18" t="n">
        <v>-0.93</v>
      </c>
      <c r="H121" s="18" t="n">
        <v>0</v>
      </c>
      <c r="I121" s="18" t="n">
        <v>0.7</v>
      </c>
      <c r="J121" s="18" t="n">
        <v>0.6</v>
      </c>
      <c r="K121" s="18" t="n">
        <v>3</v>
      </c>
      <c r="L121" s="18" t="n">
        <v>24</v>
      </c>
      <c r="M121" s="18" t="n">
        <v>20260912</v>
      </c>
      <c r="N121" s="18" t="n">
        <v>0</v>
      </c>
      <c r="O121" s="19" t="n">
        <v>0.9837</v>
      </c>
      <c r="P121" s="18" t="s">
        <v>116</v>
      </c>
      <c r="Q121" s="19" t="n">
        <v>0.981</v>
      </c>
      <c r="R121" s="19" t="n">
        <v>0.986</v>
      </c>
      <c r="S121" s="19" t="n">
        <v>0.984</v>
      </c>
      <c r="T121" s="19" t="n">
        <v>0.994</v>
      </c>
      <c r="U121" s="18" t="n">
        <v>5.6</v>
      </c>
      <c r="V121" s="19" t="n">
        <v>0.98</v>
      </c>
      <c r="W121" s="19" t="n">
        <v>0.964</v>
      </c>
      <c r="X121" s="19" t="n">
        <v>0.972</v>
      </c>
      <c r="Y121" s="19" t="n">
        <v>0.989</v>
      </c>
      <c r="Z121" s="18" t="n">
        <v>7.4</v>
      </c>
      <c r="AA121" s="18" t="n">
        <v>48</v>
      </c>
      <c r="AB121" s="18" t="n">
        <v>1</v>
      </c>
      <c r="AC121" s="18" t="n">
        <v>8.11</v>
      </c>
      <c r="AD121" s="18" t="n">
        <v>45.2</v>
      </c>
      <c r="AE121" s="18" t="n">
        <v>8.2</v>
      </c>
      <c r="AF121" s="18" t="n">
        <v>-0.005</v>
      </c>
      <c r="AG121" s="18" t="n">
        <v>0.54</v>
      </c>
      <c r="AH121" s="18" t="n">
        <v>5.7</v>
      </c>
      <c r="AI121" s="18" t="n">
        <v>138</v>
      </c>
      <c r="AJ121" s="18" t="n">
        <v>1749</v>
      </c>
      <c r="AK121" s="18" t="n">
        <v>215</v>
      </c>
      <c r="AL121" s="18" t="n">
        <v>1</v>
      </c>
      <c r="AM121" s="18" t="n">
        <v>11</v>
      </c>
      <c r="AN121" s="20" t="n">
        <v>-0.0647</v>
      </c>
      <c r="AO121" s="20" t="n">
        <v>0.0807</v>
      </c>
      <c r="AP121" s="20" t="n">
        <v>-0.0552</v>
      </c>
      <c r="AQ121" s="20" t="n">
        <v>0.071</v>
      </c>
      <c r="AR121" s="18" t="n">
        <v>7</v>
      </c>
      <c r="AS121" s="18" t="n">
        <v>5</v>
      </c>
      <c r="AT121" s="18" t="n">
        <v>14</v>
      </c>
      <c r="AU121" s="18" t="n">
        <v>0</v>
      </c>
      <c r="AV121" s="18" t="n">
        <v>59</v>
      </c>
      <c r="AW121" s="18" t="n">
        <v>16.4</v>
      </c>
      <c r="AX121" s="18" t="n">
        <v>76.7</v>
      </c>
      <c r="AY121" s="18" t="s">
        <v>379</v>
      </c>
    </row>
    <row r="122" customFormat="false" ht="15" hidden="false" customHeight="false" outlineLevel="0" collapsed="false">
      <c r="A122" s="18" t="n">
        <v>121</v>
      </c>
      <c r="B122" s="18" t="s">
        <v>380</v>
      </c>
      <c r="C122" s="18" t="s">
        <v>114</v>
      </c>
      <c r="D122" s="18" t="s">
        <v>355</v>
      </c>
      <c r="E122" s="18" t="n">
        <v>0.7</v>
      </c>
      <c r="F122" s="18" t="n">
        <v>-1.75</v>
      </c>
      <c r="G122" s="18" t="n">
        <v>-0.93</v>
      </c>
      <c r="H122" s="18" t="n">
        <v>0</v>
      </c>
      <c r="I122" s="18" t="n">
        <v>0.7</v>
      </c>
      <c r="J122" s="18" t="n">
        <v>0.6</v>
      </c>
      <c r="K122" s="18" t="n">
        <v>3</v>
      </c>
      <c r="L122" s="18" t="n">
        <v>24</v>
      </c>
      <c r="M122" s="18" t="n">
        <v>20260915</v>
      </c>
      <c r="N122" s="18" t="n">
        <v>0</v>
      </c>
      <c r="O122" s="19" t="n">
        <v>0.9859</v>
      </c>
      <c r="P122" s="18" t="s">
        <v>116</v>
      </c>
      <c r="Q122" s="19" t="n">
        <v>0.985</v>
      </c>
      <c r="R122" s="19" t="n">
        <v>0.987</v>
      </c>
      <c r="S122" s="19" t="n">
        <v>0.986</v>
      </c>
      <c r="T122" s="19" t="n">
        <v>0.995</v>
      </c>
      <c r="U122" s="18" t="n">
        <v>5.2</v>
      </c>
      <c r="V122" s="19" t="n">
        <v>0.941</v>
      </c>
      <c r="W122" s="19" t="n">
        <v>0.964</v>
      </c>
      <c r="X122" s="19" t="n">
        <v>0.953</v>
      </c>
      <c r="Y122" s="19" t="n">
        <v>0.982</v>
      </c>
      <c r="Z122" s="18" t="n">
        <v>9.6</v>
      </c>
      <c r="AA122" s="18" t="n">
        <v>48</v>
      </c>
      <c r="AB122" s="18" t="n">
        <v>1</v>
      </c>
      <c r="AC122" s="18" t="n">
        <v>8.47</v>
      </c>
      <c r="AD122" s="18" t="n">
        <v>44</v>
      </c>
      <c r="AE122" s="18" t="n">
        <v>8.9</v>
      </c>
      <c r="AF122" s="18" t="n">
        <v>-0.011</v>
      </c>
      <c r="AG122" s="18" t="n">
        <v>0.58</v>
      </c>
      <c r="AH122" s="18" t="n">
        <v>4.2</v>
      </c>
      <c r="AI122" s="18" t="n">
        <v>150</v>
      </c>
      <c r="AJ122" s="18" t="n">
        <v>1269</v>
      </c>
      <c r="AK122" s="18" t="n">
        <v>224</v>
      </c>
      <c r="AL122" s="18" t="n">
        <v>3</v>
      </c>
      <c r="AM122" s="18" t="n">
        <v>11</v>
      </c>
      <c r="AN122" s="20" t="n">
        <v>-0.0814</v>
      </c>
      <c r="AO122" s="20" t="n">
        <v>0.107</v>
      </c>
      <c r="AP122" s="20" t="n">
        <v>-0.0749</v>
      </c>
      <c r="AQ122" s="20" t="n">
        <v>0.1088</v>
      </c>
      <c r="AR122" s="18" t="n">
        <v>7</v>
      </c>
      <c r="AS122" s="18" t="n">
        <v>9</v>
      </c>
      <c r="AT122" s="18" t="n">
        <v>13</v>
      </c>
      <c r="AU122" s="18" t="n">
        <v>0</v>
      </c>
      <c r="AV122" s="18" t="n">
        <v>60</v>
      </c>
      <c r="AW122" s="18" t="n">
        <v>16</v>
      </c>
      <c r="AX122" s="18" t="n">
        <v>77.2</v>
      </c>
      <c r="AY122" s="18" t="s">
        <v>381</v>
      </c>
    </row>
    <row r="123" customFormat="false" ht="15" hidden="false" customHeight="false" outlineLevel="0" collapsed="false">
      <c r="A123" s="18" t="n">
        <v>122</v>
      </c>
      <c r="B123" s="18" t="s">
        <v>382</v>
      </c>
      <c r="C123" s="18" t="s">
        <v>114</v>
      </c>
      <c r="D123" s="18" t="s">
        <v>358</v>
      </c>
      <c r="E123" s="18" t="n">
        <v>0.7</v>
      </c>
      <c r="F123" s="18" t="n">
        <v>-2</v>
      </c>
      <c r="G123" s="18" t="n">
        <v>-0.93</v>
      </c>
      <c r="H123" s="18" t="n">
        <v>0</v>
      </c>
      <c r="I123" s="18" t="n">
        <v>0.7</v>
      </c>
      <c r="J123" s="18" t="n">
        <v>0.6</v>
      </c>
      <c r="K123" s="18" t="n">
        <v>3</v>
      </c>
      <c r="L123" s="18" t="n">
        <v>24</v>
      </c>
      <c r="M123" s="18" t="n">
        <v>20260911</v>
      </c>
      <c r="N123" s="18" t="n">
        <v>0</v>
      </c>
      <c r="O123" s="19" t="n">
        <v>0.9819</v>
      </c>
      <c r="P123" s="18" t="s">
        <v>116</v>
      </c>
      <c r="Q123" s="19" t="n">
        <v>0.976</v>
      </c>
      <c r="R123" s="19" t="n">
        <v>0.988</v>
      </c>
      <c r="S123" s="19" t="n">
        <v>0.982</v>
      </c>
      <c r="T123" s="19" t="n">
        <v>0.993</v>
      </c>
      <c r="U123" s="18" t="n">
        <v>6.3</v>
      </c>
      <c r="V123" s="19" t="n">
        <v>0.968</v>
      </c>
      <c r="W123" s="19" t="n">
        <v>0.975</v>
      </c>
      <c r="X123" s="19" t="n">
        <v>0.972</v>
      </c>
      <c r="Y123" s="19" t="n">
        <v>0.989</v>
      </c>
      <c r="Z123" s="18" t="n">
        <v>7.9</v>
      </c>
      <c r="AA123" s="18" t="n">
        <v>48</v>
      </c>
      <c r="AB123" s="18" t="n">
        <v>1</v>
      </c>
      <c r="AC123" s="18" t="n">
        <v>7.47</v>
      </c>
      <c r="AD123" s="18" t="n">
        <v>47.3</v>
      </c>
      <c r="AE123" s="18" t="n">
        <v>10.3</v>
      </c>
      <c r="AF123" s="18" t="n">
        <v>-0.005</v>
      </c>
      <c r="AG123" s="18" t="n">
        <v>0.54</v>
      </c>
      <c r="AH123" s="18" t="n">
        <v>5.8</v>
      </c>
      <c r="AI123" s="18" t="n">
        <v>139</v>
      </c>
      <c r="AJ123" s="18" t="n">
        <v>668</v>
      </c>
      <c r="AK123" s="18" t="n">
        <v>240</v>
      </c>
      <c r="AL123" s="18" t="n">
        <v>2</v>
      </c>
      <c r="AM123" s="18" t="n">
        <v>7</v>
      </c>
      <c r="AN123" s="20" t="n">
        <v>-0.0936</v>
      </c>
      <c r="AO123" s="20" t="n">
        <v>0.1613</v>
      </c>
      <c r="AP123" s="20" t="n">
        <v>-0.0907</v>
      </c>
      <c r="AQ123" s="20" t="n">
        <v>0.1397</v>
      </c>
      <c r="AR123" s="18" t="n">
        <v>7</v>
      </c>
      <c r="AS123" s="18" t="n">
        <v>8</v>
      </c>
      <c r="AT123" s="18" t="n">
        <v>9</v>
      </c>
      <c r="AU123" s="18" t="n">
        <v>0</v>
      </c>
      <c r="AV123" s="18" t="n">
        <v>76</v>
      </c>
      <c r="AW123" s="18" t="n">
        <v>15.7</v>
      </c>
      <c r="AX123" s="18" t="n">
        <v>93.2</v>
      </c>
      <c r="AY123" s="18" t="s">
        <v>383</v>
      </c>
    </row>
    <row r="124" customFormat="false" ht="15" hidden="false" customHeight="false" outlineLevel="0" collapsed="false">
      <c r="A124" s="18" t="n">
        <v>123</v>
      </c>
      <c r="B124" s="18" t="s">
        <v>384</v>
      </c>
      <c r="C124" s="18" t="s">
        <v>114</v>
      </c>
      <c r="D124" s="18" t="s">
        <v>385</v>
      </c>
      <c r="E124" s="18" t="n">
        <v>0.7</v>
      </c>
      <c r="F124" s="18" t="n">
        <v>-1.75</v>
      </c>
      <c r="G124" s="18" t="n">
        <v>-0.93</v>
      </c>
      <c r="H124" s="18" t="n">
        <v>0</v>
      </c>
      <c r="I124" s="18" t="n">
        <v>0.7</v>
      </c>
      <c r="J124" s="18" t="n">
        <v>0.7</v>
      </c>
      <c r="K124" s="18" t="n">
        <v>3</v>
      </c>
      <c r="L124" s="18" t="n">
        <v>24</v>
      </c>
      <c r="M124" s="18" t="n">
        <v>20260908</v>
      </c>
      <c r="N124" s="18" t="n">
        <v>0</v>
      </c>
      <c r="O124" s="19" t="n">
        <v>0.9718</v>
      </c>
      <c r="P124" s="18" t="s">
        <v>116</v>
      </c>
      <c r="Q124" s="19" t="n">
        <v>0.963</v>
      </c>
      <c r="R124" s="19" t="n">
        <v>0.981</v>
      </c>
      <c r="S124" s="19" t="n">
        <v>0.972</v>
      </c>
      <c r="T124" s="19" t="n">
        <v>0.992</v>
      </c>
      <c r="U124" s="18" t="n">
        <v>6.3</v>
      </c>
      <c r="V124" s="19" t="n">
        <v>0.963</v>
      </c>
      <c r="W124" s="19" t="n">
        <v>0.954</v>
      </c>
      <c r="X124" s="19" t="n">
        <v>0.959</v>
      </c>
      <c r="Y124" s="19" t="n">
        <v>0.988</v>
      </c>
      <c r="Z124" s="18" t="n">
        <v>7.6</v>
      </c>
      <c r="AA124" s="18" t="n">
        <v>48</v>
      </c>
      <c r="AB124" s="18" t="n">
        <v>1</v>
      </c>
      <c r="AC124" s="18" t="n">
        <v>5.76</v>
      </c>
      <c r="AD124" s="18" t="n">
        <v>36.3</v>
      </c>
      <c r="AE124" s="18" t="n">
        <v>10.1</v>
      </c>
      <c r="AF124" s="18" t="n">
        <v>-0.005</v>
      </c>
      <c r="AG124" s="18" t="n">
        <v>0.5</v>
      </c>
      <c r="AH124" s="18" t="n">
        <v>7</v>
      </c>
      <c r="AI124" s="18" t="n">
        <v>148</v>
      </c>
      <c r="AJ124" s="18" t="n">
        <v>1265</v>
      </c>
      <c r="AK124" s="18" t="n">
        <v>224</v>
      </c>
      <c r="AL124" s="18" t="n">
        <v>4</v>
      </c>
      <c r="AM124" s="18" t="n">
        <v>8</v>
      </c>
      <c r="AN124" s="20" t="n">
        <v>-0.0709</v>
      </c>
      <c r="AO124" s="20" t="n">
        <v>0.1038</v>
      </c>
      <c r="AP124" s="20" t="n">
        <v>-0.0676</v>
      </c>
      <c r="AQ124" s="20" t="n">
        <v>0.0931</v>
      </c>
      <c r="AR124" s="18" t="n">
        <v>4</v>
      </c>
      <c r="AS124" s="18" t="n">
        <v>8</v>
      </c>
      <c r="AT124" s="18" t="n">
        <v>11</v>
      </c>
      <c r="AU124" s="18" t="n">
        <v>0</v>
      </c>
      <c r="AV124" s="18" t="n">
        <v>60</v>
      </c>
      <c r="AW124" s="18" t="n">
        <v>16.5</v>
      </c>
      <c r="AX124" s="18" t="n">
        <v>77.3</v>
      </c>
      <c r="AY124" s="18" t="s">
        <v>386</v>
      </c>
    </row>
    <row r="125" customFormat="false" ht="15" hidden="false" customHeight="false" outlineLevel="0" collapsed="false">
      <c r="A125" s="18" t="n">
        <v>124</v>
      </c>
      <c r="B125" s="18" t="s">
        <v>387</v>
      </c>
      <c r="C125" s="18" t="s">
        <v>114</v>
      </c>
      <c r="D125" s="18" t="s">
        <v>388</v>
      </c>
      <c r="E125" s="18" t="n">
        <v>0.7</v>
      </c>
      <c r="F125" s="18" t="n">
        <v>-1.75</v>
      </c>
      <c r="G125" s="18" t="n">
        <v>-0.93</v>
      </c>
      <c r="H125" s="18" t="n">
        <v>0</v>
      </c>
      <c r="I125" s="18" t="n">
        <v>0.7</v>
      </c>
      <c r="J125" s="18" t="n">
        <v>0.6</v>
      </c>
      <c r="K125" s="18" t="n">
        <v>1</v>
      </c>
      <c r="L125" s="18" t="n">
        <v>24</v>
      </c>
      <c r="M125" s="18" t="n">
        <v>20260905</v>
      </c>
      <c r="N125" s="18" t="n">
        <v>0</v>
      </c>
      <c r="O125" s="19" t="n">
        <v>0.9544</v>
      </c>
      <c r="P125" s="18" t="s">
        <v>116</v>
      </c>
      <c r="Q125" s="19" t="n">
        <v>0.956</v>
      </c>
      <c r="R125" s="19" t="n">
        <v>0.953</v>
      </c>
      <c r="S125" s="19" t="n">
        <v>0.954</v>
      </c>
      <c r="T125" s="19" t="n">
        <v>0.981</v>
      </c>
      <c r="U125" s="18" t="n">
        <v>10.3</v>
      </c>
      <c r="V125" s="19" t="n">
        <v>0.952</v>
      </c>
      <c r="W125" s="19" t="n">
        <v>0.863</v>
      </c>
      <c r="X125" s="19" t="n">
        <v>0.908</v>
      </c>
      <c r="Y125" s="19" t="n">
        <v>0.963</v>
      </c>
      <c r="Z125" s="18" t="n">
        <v>14.5</v>
      </c>
      <c r="AA125" s="18" t="n">
        <v>48</v>
      </c>
      <c r="AB125" s="18" t="n">
        <v>1</v>
      </c>
      <c r="AC125" s="18" t="n">
        <v>4.69</v>
      </c>
      <c r="AD125" s="18" t="n">
        <v>48.3</v>
      </c>
      <c r="AE125" s="18" t="n">
        <v>0</v>
      </c>
      <c r="AF125" s="18" t="n">
        <v>0.016</v>
      </c>
      <c r="AG125" s="18" t="n">
        <v>0.54</v>
      </c>
      <c r="AH125" s="18" t="n">
        <v>9.4</v>
      </c>
      <c r="AI125" s="18" t="n">
        <v>141</v>
      </c>
      <c r="AJ125" s="18" t="n">
        <v>1281</v>
      </c>
      <c r="AK125" s="18" t="n">
        <v>222</v>
      </c>
      <c r="AL125" s="18" t="n">
        <v>1</v>
      </c>
      <c r="AM125" s="18" t="n">
        <v>7</v>
      </c>
      <c r="AN125" s="20" t="n">
        <v>-0.0747</v>
      </c>
      <c r="AO125" s="20" t="n">
        <v>0.115</v>
      </c>
      <c r="AP125" s="20" t="n">
        <v>-0.066</v>
      </c>
      <c r="AQ125" s="20" t="n">
        <v>0.098</v>
      </c>
      <c r="AR125" s="18" t="n">
        <v>7</v>
      </c>
      <c r="AS125" s="18" t="n">
        <v>7</v>
      </c>
      <c r="AT125" s="18" t="n">
        <v>19</v>
      </c>
      <c r="AU125" s="18" t="n">
        <v>0</v>
      </c>
      <c r="AV125" s="18" t="n">
        <v>74</v>
      </c>
      <c r="AW125" s="18" t="n">
        <v>12.2</v>
      </c>
      <c r="AX125" s="18" t="n">
        <v>87.2</v>
      </c>
      <c r="AY125" s="18" t="s">
        <v>389</v>
      </c>
    </row>
    <row r="126" customFormat="false" ht="15" hidden="false" customHeight="false" outlineLevel="0" collapsed="false">
      <c r="A126" s="18" t="n">
        <v>125</v>
      </c>
      <c r="B126" s="18" t="s">
        <v>390</v>
      </c>
      <c r="C126" s="18" t="s">
        <v>114</v>
      </c>
      <c r="D126" s="18" t="s">
        <v>391</v>
      </c>
      <c r="E126" s="18" t="n">
        <v>0.7</v>
      </c>
      <c r="F126" s="18" t="n">
        <v>-1.75</v>
      </c>
      <c r="G126" s="18" t="n">
        <v>-0.93</v>
      </c>
      <c r="H126" s="18" t="n">
        <v>0</v>
      </c>
      <c r="I126" s="18" t="n">
        <v>0.7</v>
      </c>
      <c r="J126" s="18" t="n">
        <v>0.6</v>
      </c>
      <c r="K126" s="18" t="n">
        <v>6</v>
      </c>
      <c r="L126" s="18" t="n">
        <v>24</v>
      </c>
      <c r="M126" s="18" t="n">
        <v>20260905</v>
      </c>
      <c r="N126" s="18" t="n">
        <v>0</v>
      </c>
      <c r="O126" s="19" t="n">
        <v>0.9902</v>
      </c>
      <c r="P126" s="18" t="s">
        <v>116</v>
      </c>
      <c r="Q126" s="19" t="n">
        <v>0.987</v>
      </c>
      <c r="R126" s="19" t="n">
        <v>0.993</v>
      </c>
      <c r="S126" s="19" t="n">
        <v>0.99</v>
      </c>
      <c r="T126" s="19" t="n">
        <v>0.996</v>
      </c>
      <c r="U126" s="18" t="n">
        <v>4.7</v>
      </c>
      <c r="V126" s="19" t="n">
        <v>0.973</v>
      </c>
      <c r="W126" s="19" t="n">
        <v>0.977</v>
      </c>
      <c r="X126" s="19" t="n">
        <v>0.975</v>
      </c>
      <c r="Y126" s="19" t="n">
        <v>0.99</v>
      </c>
      <c r="Z126" s="18" t="n">
        <v>7.6</v>
      </c>
      <c r="AA126" s="18" t="n">
        <v>48</v>
      </c>
      <c r="AB126" s="18" t="n">
        <v>1</v>
      </c>
      <c r="AC126" s="18" t="n">
        <v>10.42</v>
      </c>
      <c r="AD126" s="18" t="n">
        <v>49.2</v>
      </c>
      <c r="AE126" s="18" t="n">
        <v>10.5</v>
      </c>
      <c r="AF126" s="18" t="n">
        <v>-0.015</v>
      </c>
      <c r="AG126" s="18" t="n">
        <v>0.5</v>
      </c>
      <c r="AH126" s="18" t="n">
        <v>4.4</v>
      </c>
      <c r="AI126" s="18" t="n">
        <v>145</v>
      </c>
      <c r="AJ126" s="18" t="n">
        <v>1250</v>
      </c>
      <c r="AK126" s="18" t="n">
        <v>225</v>
      </c>
      <c r="AL126" s="18" t="n">
        <v>3</v>
      </c>
      <c r="AM126" s="18" t="n">
        <v>1</v>
      </c>
      <c r="AN126" s="20" t="n">
        <v>-0.0608</v>
      </c>
      <c r="AO126" s="20" t="n">
        <v>0.1171</v>
      </c>
      <c r="AP126" s="20" t="n">
        <v>-0.0792</v>
      </c>
      <c r="AQ126" s="20" t="n">
        <v>0.1026</v>
      </c>
      <c r="AR126" s="18" t="n">
        <v>11</v>
      </c>
      <c r="AS126" s="18" t="n">
        <v>8</v>
      </c>
      <c r="AT126" s="18" t="n">
        <v>11</v>
      </c>
      <c r="AU126" s="18" t="n">
        <v>0</v>
      </c>
      <c r="AV126" s="18" t="n">
        <v>120</v>
      </c>
      <c r="AW126" s="18" t="n">
        <v>22.6</v>
      </c>
      <c r="AX126" s="18" t="n">
        <v>143.7</v>
      </c>
      <c r="AY126" s="18" t="s">
        <v>392</v>
      </c>
    </row>
    <row r="127" customFormat="false" ht="15" hidden="false" customHeight="false" outlineLevel="0" collapsed="false">
      <c r="A127" s="18" t="n">
        <v>126</v>
      </c>
      <c r="B127" s="18" t="s">
        <v>393</v>
      </c>
      <c r="C127" s="18" t="s">
        <v>114</v>
      </c>
      <c r="D127" s="18" t="s">
        <v>385</v>
      </c>
      <c r="E127" s="18" t="n">
        <v>0.7</v>
      </c>
      <c r="F127" s="18" t="n">
        <v>-1.75</v>
      </c>
      <c r="G127" s="18" t="n">
        <v>-0.93</v>
      </c>
      <c r="H127" s="18" t="n">
        <v>0</v>
      </c>
      <c r="I127" s="18" t="n">
        <v>0.7</v>
      </c>
      <c r="J127" s="18" t="n">
        <v>0.7</v>
      </c>
      <c r="K127" s="18" t="n">
        <v>3</v>
      </c>
      <c r="L127" s="18" t="n">
        <v>24</v>
      </c>
      <c r="M127" s="18" t="n">
        <v>20260909</v>
      </c>
      <c r="N127" s="18" t="n">
        <v>0</v>
      </c>
      <c r="O127" s="19" t="n">
        <v>0.9808</v>
      </c>
      <c r="P127" s="18" t="s">
        <v>116</v>
      </c>
      <c r="Q127" s="19" t="n">
        <v>0.983</v>
      </c>
      <c r="R127" s="19" t="n">
        <v>0.978</v>
      </c>
      <c r="S127" s="19" t="n">
        <v>0.981</v>
      </c>
      <c r="T127" s="19" t="n">
        <v>0.993</v>
      </c>
      <c r="U127" s="18" t="n">
        <v>6.5</v>
      </c>
      <c r="V127" s="19" t="n">
        <v>0.961</v>
      </c>
      <c r="W127" s="19" t="n">
        <v>0.945</v>
      </c>
      <c r="X127" s="19" t="n">
        <v>0.953</v>
      </c>
      <c r="Y127" s="19" t="n">
        <v>0.982</v>
      </c>
      <c r="Z127" s="18" t="n">
        <v>10.2</v>
      </c>
      <c r="AA127" s="18" t="n">
        <v>48</v>
      </c>
      <c r="AB127" s="18" t="n">
        <v>1</v>
      </c>
      <c r="AC127" s="18" t="n">
        <v>7.62</v>
      </c>
      <c r="AD127" s="18" t="n">
        <v>49.9</v>
      </c>
      <c r="AE127" s="18" t="n">
        <v>8.9</v>
      </c>
      <c r="AF127" s="18" t="n">
        <v>-0.004</v>
      </c>
      <c r="AG127" s="18" t="n">
        <v>0.58</v>
      </c>
      <c r="AH127" s="18" t="n">
        <v>9.1</v>
      </c>
      <c r="AI127" s="18" t="n">
        <v>146</v>
      </c>
      <c r="AJ127" s="18" t="n">
        <v>1273</v>
      </c>
      <c r="AK127" s="18" t="n">
        <v>224</v>
      </c>
      <c r="AL127" s="18" t="n">
        <v>0</v>
      </c>
      <c r="AM127" s="18" t="n">
        <v>3</v>
      </c>
      <c r="AN127" s="20" t="n">
        <v>-0.0718</v>
      </c>
      <c r="AO127" s="20" t="n">
        <v>0.1172</v>
      </c>
      <c r="AP127" s="20" t="n">
        <v>-0.0851</v>
      </c>
      <c r="AQ127" s="20" t="n">
        <v>0.0905</v>
      </c>
      <c r="AR127" s="18" t="n">
        <v>7</v>
      </c>
      <c r="AS127" s="18" t="n">
        <v>13</v>
      </c>
      <c r="AT127" s="18" t="n">
        <v>18</v>
      </c>
      <c r="AU127" s="18" t="n">
        <v>0</v>
      </c>
      <c r="AV127" s="18" t="n">
        <v>60</v>
      </c>
      <c r="AW127" s="18" t="n">
        <v>16.1</v>
      </c>
      <c r="AX127" s="18" t="n">
        <v>77</v>
      </c>
      <c r="AY127" s="18" t="s">
        <v>394</v>
      </c>
    </row>
    <row r="128" customFormat="false" ht="15" hidden="false" customHeight="false" outlineLevel="0" collapsed="false">
      <c r="A128" s="18" t="n">
        <v>127</v>
      </c>
      <c r="B128" s="18" t="s">
        <v>395</v>
      </c>
      <c r="C128" s="18" t="s">
        <v>114</v>
      </c>
      <c r="D128" s="18" t="s">
        <v>388</v>
      </c>
      <c r="E128" s="18" t="n">
        <v>0.7</v>
      </c>
      <c r="F128" s="18" t="n">
        <v>-1.75</v>
      </c>
      <c r="G128" s="18" t="n">
        <v>-0.93</v>
      </c>
      <c r="H128" s="18" t="n">
        <v>0</v>
      </c>
      <c r="I128" s="18" t="n">
        <v>0.7</v>
      </c>
      <c r="J128" s="18" t="n">
        <v>0.6</v>
      </c>
      <c r="K128" s="18" t="n">
        <v>1</v>
      </c>
      <c r="L128" s="18" t="n">
        <v>24</v>
      </c>
      <c r="M128" s="18" t="n">
        <v>20260906</v>
      </c>
      <c r="N128" s="18" t="n">
        <v>0</v>
      </c>
      <c r="O128" s="19" t="n">
        <v>0.9164</v>
      </c>
      <c r="P128" s="18" t="s">
        <v>116</v>
      </c>
      <c r="Q128" s="19" t="n">
        <v>0.954</v>
      </c>
      <c r="R128" s="19" t="n">
        <v>0.879</v>
      </c>
      <c r="S128" s="19" t="n">
        <v>0.916</v>
      </c>
      <c r="T128" s="19" t="n">
        <v>0.976</v>
      </c>
      <c r="U128" s="18" t="n">
        <v>10.8</v>
      </c>
      <c r="V128" s="19" t="n">
        <v>0.92</v>
      </c>
      <c r="W128" s="19" t="n">
        <v>0.775</v>
      </c>
      <c r="X128" s="19" t="n">
        <v>0.848</v>
      </c>
      <c r="Y128" s="19" t="n">
        <v>0.956</v>
      </c>
      <c r="Z128" s="18" t="n">
        <v>14.6</v>
      </c>
      <c r="AA128" s="18" t="n">
        <v>48</v>
      </c>
      <c r="AB128" s="18" t="n">
        <v>1</v>
      </c>
      <c r="AC128" s="18" t="n">
        <v>3.99</v>
      </c>
      <c r="AD128" s="18" t="n">
        <v>43.1</v>
      </c>
      <c r="AE128" s="18" t="n">
        <v>0</v>
      </c>
      <c r="AF128" s="18" t="n">
        <v>-0.059</v>
      </c>
      <c r="AG128" s="18" t="n">
        <v>0.54</v>
      </c>
      <c r="AH128" s="18" t="n">
        <v>12</v>
      </c>
      <c r="AI128" s="18" t="n">
        <v>115</v>
      </c>
      <c r="AJ128" s="18" t="n">
        <v>1304</v>
      </c>
      <c r="AK128" s="18" t="n">
        <v>231</v>
      </c>
      <c r="AL128" s="18" t="n">
        <v>1</v>
      </c>
      <c r="AM128" s="18" t="n">
        <v>12</v>
      </c>
      <c r="AN128" s="20" t="n">
        <v>-0.0866</v>
      </c>
      <c r="AO128" s="20" t="n">
        <v>0.1173</v>
      </c>
      <c r="AP128" s="20" t="n">
        <v>-0.0797</v>
      </c>
      <c r="AQ128" s="20" t="n">
        <v>0.0909</v>
      </c>
      <c r="AR128" s="18" t="n">
        <v>9</v>
      </c>
      <c r="AS128" s="18" t="n">
        <v>11</v>
      </c>
      <c r="AT128" s="18" t="n">
        <v>7</v>
      </c>
      <c r="AU128" s="18" t="n">
        <v>0</v>
      </c>
      <c r="AV128" s="18" t="n">
        <v>138</v>
      </c>
      <c r="AW128" s="18" t="n">
        <v>12.6</v>
      </c>
      <c r="AX128" s="18" t="n">
        <v>151.8</v>
      </c>
      <c r="AY128" s="18" t="s">
        <v>396</v>
      </c>
    </row>
    <row r="129" customFormat="false" ht="15" hidden="false" customHeight="false" outlineLevel="0" collapsed="false">
      <c r="A129" s="18" t="n">
        <v>128</v>
      </c>
      <c r="B129" s="18" t="s">
        <v>397</v>
      </c>
      <c r="C129" s="18" t="s">
        <v>114</v>
      </c>
      <c r="D129" s="18" t="s">
        <v>391</v>
      </c>
      <c r="E129" s="18" t="n">
        <v>0.7</v>
      </c>
      <c r="F129" s="18" t="n">
        <v>-1.75</v>
      </c>
      <c r="G129" s="18" t="n">
        <v>-0.93</v>
      </c>
      <c r="H129" s="18" t="n">
        <v>0</v>
      </c>
      <c r="I129" s="18" t="n">
        <v>0.7</v>
      </c>
      <c r="J129" s="18" t="n">
        <v>0.6</v>
      </c>
      <c r="K129" s="18" t="n">
        <v>6</v>
      </c>
      <c r="L129" s="18" t="n">
        <v>24</v>
      </c>
      <c r="M129" s="18" t="n">
        <v>20260906</v>
      </c>
      <c r="N129" s="18" t="n">
        <v>0</v>
      </c>
      <c r="O129" s="19" t="n">
        <v>0.9802</v>
      </c>
      <c r="P129" s="18" t="s">
        <v>116</v>
      </c>
      <c r="Q129" s="19" t="n">
        <v>0.977</v>
      </c>
      <c r="R129" s="19" t="n">
        <v>0.983</v>
      </c>
      <c r="S129" s="19" t="n">
        <v>0.98</v>
      </c>
      <c r="T129" s="19" t="n">
        <v>0.994</v>
      </c>
      <c r="U129" s="18" t="n">
        <v>5.6</v>
      </c>
      <c r="V129" s="19" t="n">
        <v>0.948</v>
      </c>
      <c r="W129" s="19" t="n">
        <v>0.945</v>
      </c>
      <c r="X129" s="19" t="n">
        <v>0.947</v>
      </c>
      <c r="Y129" s="19" t="n">
        <v>0.983</v>
      </c>
      <c r="Z129" s="18" t="n">
        <v>9.2</v>
      </c>
      <c r="AA129" s="18" t="n">
        <v>48</v>
      </c>
      <c r="AB129" s="18" t="n">
        <v>1</v>
      </c>
      <c r="AC129" s="18" t="n">
        <v>7.59</v>
      </c>
      <c r="AD129" s="18" t="n">
        <v>42.3</v>
      </c>
      <c r="AE129" s="18" t="n">
        <v>11.3</v>
      </c>
      <c r="AF129" s="18" t="n">
        <v>-0.021</v>
      </c>
      <c r="AG129" s="18" t="n">
        <v>0.62</v>
      </c>
      <c r="AH129" s="18" t="n">
        <v>6.4</v>
      </c>
      <c r="AI129" s="18" t="n">
        <v>148</v>
      </c>
      <c r="AJ129" s="18" t="n">
        <v>1278</v>
      </c>
      <c r="AK129" s="18" t="n">
        <v>228</v>
      </c>
      <c r="AL129" s="18" t="n">
        <v>3</v>
      </c>
      <c r="AM129" s="18" t="n">
        <v>9</v>
      </c>
      <c r="AN129" s="20" t="n">
        <v>-0.0614</v>
      </c>
      <c r="AO129" s="20" t="n">
        <v>0.1089</v>
      </c>
      <c r="AP129" s="20" t="n">
        <v>-0.0734</v>
      </c>
      <c r="AQ129" s="20" t="n">
        <v>0.0938</v>
      </c>
      <c r="AR129" s="18" t="n">
        <v>7</v>
      </c>
      <c r="AS129" s="18" t="n">
        <v>15</v>
      </c>
      <c r="AT129" s="18" t="n">
        <v>14</v>
      </c>
      <c r="AU129" s="18" t="n">
        <v>0</v>
      </c>
      <c r="AV129" s="18" t="n">
        <v>62</v>
      </c>
      <c r="AW129" s="18" t="n">
        <v>22.9</v>
      </c>
      <c r="AX129" s="18" t="n">
        <v>86.1</v>
      </c>
      <c r="AY129" s="18" t="s">
        <v>398</v>
      </c>
    </row>
    <row r="130" customFormat="false" ht="15" hidden="false" customHeight="false" outlineLevel="0" collapsed="false">
      <c r="A130" s="18" t="n">
        <v>129</v>
      </c>
      <c r="B130" s="18" t="s">
        <v>399</v>
      </c>
      <c r="C130" s="18" t="s">
        <v>146</v>
      </c>
      <c r="D130" s="18"/>
      <c r="E130" s="18" t="n">
        <v>0.7</v>
      </c>
      <c r="F130" s="18" t="n">
        <v>-1.75</v>
      </c>
      <c r="G130" s="18" t="n">
        <v>-0.93</v>
      </c>
      <c r="H130" s="18" t="n">
        <v>0</v>
      </c>
      <c r="I130" s="18" t="n">
        <v>0.7</v>
      </c>
      <c r="J130" s="18" t="n">
        <v>0.6</v>
      </c>
      <c r="K130" s="18" t="n">
        <v>1</v>
      </c>
      <c r="L130" s="18" t="n">
        <v>24</v>
      </c>
      <c r="M130" s="18" t="n">
        <v>20260907</v>
      </c>
      <c r="N130" s="18" t="n">
        <v>0</v>
      </c>
      <c r="O130" s="19" t="n">
        <v>0.9484</v>
      </c>
      <c r="P130" s="18" t="s">
        <v>116</v>
      </c>
      <c r="Q130" s="19" t="n">
        <v>0.961</v>
      </c>
      <c r="R130" s="19" t="n">
        <v>0.936</v>
      </c>
      <c r="S130" s="19" t="n">
        <v>0.948</v>
      </c>
      <c r="T130" s="19" t="n">
        <v>0.976</v>
      </c>
      <c r="U130" s="18" t="n">
        <v>11.9</v>
      </c>
      <c r="V130" s="19" t="n">
        <v>0.957</v>
      </c>
      <c r="W130" s="19" t="n">
        <v>0.934</v>
      </c>
      <c r="X130" s="19" t="n">
        <v>0.946</v>
      </c>
      <c r="Y130" s="19" t="n">
        <v>0.974</v>
      </c>
      <c r="Z130" s="18" t="n">
        <v>12.3</v>
      </c>
      <c r="AA130" s="18" t="n">
        <v>48</v>
      </c>
      <c r="AB130" s="18" t="n">
        <v>1</v>
      </c>
      <c r="AC130" s="18" t="n">
        <v>4.31</v>
      </c>
      <c r="AD130" s="18" t="n">
        <v>51.5</v>
      </c>
      <c r="AE130" s="18" t="n">
        <v>0</v>
      </c>
      <c r="AF130" s="18" t="n">
        <v>-0.041</v>
      </c>
      <c r="AG130" s="18" t="n">
        <v>0.33</v>
      </c>
      <c r="AH130" s="18" t="n">
        <v>11.3</v>
      </c>
      <c r="AI130" s="18" t="n">
        <v>116</v>
      </c>
      <c r="AJ130" s="18" t="n">
        <v>1292</v>
      </c>
      <c r="AK130" s="18" t="n">
        <v>230</v>
      </c>
      <c r="AL130" s="18" t="n">
        <v>1</v>
      </c>
      <c r="AM130" s="18" t="n">
        <v>1</v>
      </c>
      <c r="AN130" s="20" t="n">
        <v>-0.0829</v>
      </c>
      <c r="AO130" s="20" t="n">
        <v>0.1162</v>
      </c>
      <c r="AP130" s="20" t="n">
        <v>-0.0731</v>
      </c>
      <c r="AQ130" s="20" t="n">
        <v>0.1039</v>
      </c>
      <c r="AR130" s="18" t="n">
        <v>8</v>
      </c>
      <c r="AS130" s="18" t="n">
        <v>7</v>
      </c>
      <c r="AT130" s="18" t="n">
        <v>7</v>
      </c>
      <c r="AU130" s="18" t="n">
        <v>0</v>
      </c>
      <c r="AV130" s="18" t="n">
        <v>114</v>
      </c>
      <c r="AW130" s="18" t="n">
        <v>12.5</v>
      </c>
      <c r="AX130" s="18" t="n">
        <v>188.8</v>
      </c>
      <c r="AY130" s="18" t="s">
        <v>400</v>
      </c>
    </row>
    <row r="131" customFormat="false" ht="15" hidden="false" customHeight="false" outlineLevel="0" collapsed="false">
      <c r="A131" s="18" t="n">
        <v>130</v>
      </c>
      <c r="B131" s="18" t="s">
        <v>401</v>
      </c>
      <c r="C131" s="18" t="s">
        <v>151</v>
      </c>
      <c r="D131" s="18"/>
      <c r="E131" s="18" t="n">
        <v>0.7</v>
      </c>
      <c r="F131" s="18" t="n">
        <v>-1.75</v>
      </c>
      <c r="G131" s="18" t="n">
        <v>-0.93</v>
      </c>
      <c r="H131" s="18" t="n">
        <v>0</v>
      </c>
      <c r="I131" s="18" t="n">
        <v>0.7</v>
      </c>
      <c r="J131" s="18" t="n">
        <v>0.6</v>
      </c>
      <c r="K131" s="18" t="n">
        <v>3</v>
      </c>
      <c r="L131" s="18" t="n">
        <v>24</v>
      </c>
      <c r="M131" s="18" t="n">
        <v>20260916</v>
      </c>
      <c r="N131" s="18" t="n">
        <v>1</v>
      </c>
      <c r="O131" s="19" t="n">
        <v>0.9722</v>
      </c>
      <c r="P131" s="18" t="s">
        <v>116</v>
      </c>
      <c r="Q131" s="19" t="n">
        <v>0.973</v>
      </c>
      <c r="R131" s="19" t="n">
        <v>0.972</v>
      </c>
      <c r="S131" s="19" t="n">
        <v>0.972</v>
      </c>
      <c r="T131" s="19" t="n">
        <v>0.987</v>
      </c>
      <c r="U131" s="18" t="n">
        <v>8.9</v>
      </c>
      <c r="V131" s="19" t="n">
        <v>0.889</v>
      </c>
      <c r="W131" s="19" t="n">
        <v>0.952</v>
      </c>
      <c r="X131" s="19" t="n">
        <v>0.921</v>
      </c>
      <c r="Y131" s="19" t="n">
        <v>0.966</v>
      </c>
      <c r="Z131" s="18" t="n">
        <v>14</v>
      </c>
      <c r="AA131" s="18" t="n">
        <v>46</v>
      </c>
      <c r="AB131" s="18" t="n">
        <v>0.96</v>
      </c>
      <c r="AC131" s="18" t="n">
        <v>6.35</v>
      </c>
      <c r="AD131" s="18" t="n">
        <v>56.5</v>
      </c>
      <c r="AE131" s="18" t="n">
        <v>9.5</v>
      </c>
      <c r="AF131" s="18" t="n">
        <v>-0.026</v>
      </c>
      <c r="AG131" s="18" t="n">
        <v>0.5</v>
      </c>
      <c r="AH131" s="18" t="n">
        <v>5.7</v>
      </c>
      <c r="AI131" s="18" t="n">
        <v>143</v>
      </c>
      <c r="AJ131" s="18" t="n">
        <v>1270</v>
      </c>
      <c r="AK131" s="18" t="n">
        <v>228</v>
      </c>
      <c r="AL131" s="18" t="n">
        <v>6</v>
      </c>
      <c r="AM131" s="18" t="n">
        <v>7</v>
      </c>
      <c r="AN131" s="20" t="n">
        <v>-0.0726</v>
      </c>
      <c r="AO131" s="20" t="n">
        <v>0.1235</v>
      </c>
      <c r="AP131" s="20" t="n">
        <v>-0.0662</v>
      </c>
      <c r="AQ131" s="20" t="n">
        <v>0.0992</v>
      </c>
      <c r="AR131" s="18" t="n">
        <v>9</v>
      </c>
      <c r="AS131" s="18" t="n">
        <v>9</v>
      </c>
      <c r="AT131" s="18" t="n">
        <v>11</v>
      </c>
      <c r="AU131" s="18" t="n">
        <v>0</v>
      </c>
      <c r="AV131" s="18" t="n">
        <v>120</v>
      </c>
      <c r="AW131" s="18" t="n">
        <v>15.8</v>
      </c>
      <c r="AX131" s="18" t="n">
        <v>136.5</v>
      </c>
      <c r="AY131" s="18" t="s">
        <v>402</v>
      </c>
    </row>
    <row r="132" customFormat="false" ht="15" hidden="false" customHeight="false" outlineLevel="0" collapsed="false">
      <c r="A132" s="18" t="n">
        <v>131</v>
      </c>
      <c r="B132" s="18" t="s">
        <v>403</v>
      </c>
      <c r="C132" s="18" t="s">
        <v>267</v>
      </c>
      <c r="D132" s="18"/>
      <c r="E132" s="18" t="n">
        <v>0.7</v>
      </c>
      <c r="F132" s="18" t="n">
        <v>-2</v>
      </c>
      <c r="G132" s="18" t="n">
        <v>-0.93</v>
      </c>
      <c r="H132" s="18" t="n">
        <v>0</v>
      </c>
      <c r="I132" s="18" t="n">
        <v>0.7</v>
      </c>
      <c r="J132" s="18" t="n">
        <v>0.6</v>
      </c>
      <c r="K132" s="18" t="n">
        <v>1</v>
      </c>
      <c r="L132" s="18" t="n">
        <v>24</v>
      </c>
      <c r="M132" s="18" t="n">
        <v>20260905</v>
      </c>
      <c r="N132" s="18" t="n">
        <v>0</v>
      </c>
      <c r="O132" s="19" t="n">
        <v>0.9555</v>
      </c>
      <c r="P132" s="18" t="s">
        <v>116</v>
      </c>
      <c r="Q132" s="19" t="n">
        <v>0.955</v>
      </c>
      <c r="R132" s="19" t="n">
        <v>0.956</v>
      </c>
      <c r="S132" s="19" t="n">
        <v>0.955</v>
      </c>
      <c r="T132" s="19" t="n">
        <v>0.983</v>
      </c>
      <c r="U132" s="18" t="n">
        <v>10.5</v>
      </c>
      <c r="V132" s="19" t="n">
        <v>0.947</v>
      </c>
      <c r="W132" s="19" t="n">
        <v>0.941</v>
      </c>
      <c r="X132" s="19" t="n">
        <v>0.944</v>
      </c>
      <c r="Y132" s="19" t="n">
        <v>0.978</v>
      </c>
      <c r="Z132" s="18" t="n">
        <v>11.8</v>
      </c>
      <c r="AA132" s="18" t="n">
        <v>48</v>
      </c>
      <c r="AB132" s="18" t="n">
        <v>1</v>
      </c>
      <c r="AC132" s="18" t="n">
        <v>4.68</v>
      </c>
      <c r="AD132" s="18" t="n">
        <v>49.2</v>
      </c>
      <c r="AE132" s="18" t="n">
        <v>0</v>
      </c>
      <c r="AF132" s="18" t="n">
        <v>0.005</v>
      </c>
      <c r="AG132" s="18" t="n">
        <v>0.54</v>
      </c>
      <c r="AH132" s="18" t="n">
        <v>11</v>
      </c>
      <c r="AI132" s="18" t="n">
        <v>145</v>
      </c>
      <c r="AJ132" s="18" t="n">
        <v>611</v>
      </c>
      <c r="AK132" s="18" t="n">
        <v>230</v>
      </c>
      <c r="AL132" s="18" t="n">
        <v>2</v>
      </c>
      <c r="AM132" s="18" t="n">
        <v>1</v>
      </c>
      <c r="AN132" s="20" t="n">
        <v>-0.0915</v>
      </c>
      <c r="AO132" s="20" t="n">
        <v>0.1474</v>
      </c>
      <c r="AP132" s="20" t="n">
        <v>-0.092</v>
      </c>
      <c r="AQ132" s="20" t="n">
        <v>0.1457</v>
      </c>
      <c r="AR132" s="18" t="n">
        <v>9</v>
      </c>
      <c r="AS132" s="18" t="n">
        <v>5</v>
      </c>
      <c r="AT132" s="18" t="n">
        <v>22</v>
      </c>
      <c r="AU132" s="18" t="n">
        <v>0</v>
      </c>
      <c r="AV132" s="18" t="n">
        <v>79</v>
      </c>
      <c r="AW132" s="18" t="n">
        <v>12.7</v>
      </c>
      <c r="AX132" s="18" t="n">
        <v>92.8</v>
      </c>
      <c r="AY132" s="18" t="s">
        <v>404</v>
      </c>
    </row>
    <row r="133" customFormat="false" ht="15" hidden="false" customHeight="false" outlineLevel="0" collapsed="false">
      <c r="A133" s="18" t="n">
        <v>132</v>
      </c>
      <c r="B133" s="18" t="s">
        <v>405</v>
      </c>
      <c r="C133" s="18" t="s">
        <v>267</v>
      </c>
      <c r="D133" s="18"/>
      <c r="E133" s="18" t="n">
        <v>0.7</v>
      </c>
      <c r="F133" s="18" t="n">
        <v>-1.5</v>
      </c>
      <c r="G133" s="18" t="n">
        <v>-0.93</v>
      </c>
      <c r="H133" s="18" t="n">
        <v>0</v>
      </c>
      <c r="I133" s="18" t="n">
        <v>0.7</v>
      </c>
      <c r="J133" s="18" t="n">
        <v>0.6</v>
      </c>
      <c r="K133" s="18" t="n">
        <v>1</v>
      </c>
      <c r="L133" s="18" t="n">
        <v>24</v>
      </c>
      <c r="M133" s="18" t="n">
        <v>20260905</v>
      </c>
      <c r="N133" s="18" t="n">
        <v>0</v>
      </c>
      <c r="O133" s="19" t="n">
        <v>0.9654</v>
      </c>
      <c r="P133" s="18" t="s">
        <v>116</v>
      </c>
      <c r="Q133" s="19" t="n">
        <v>0.961</v>
      </c>
      <c r="R133" s="19" t="n">
        <v>0.97</v>
      </c>
      <c r="S133" s="19" t="n">
        <v>0.965</v>
      </c>
      <c r="T133" s="19" t="n">
        <v>0.987</v>
      </c>
      <c r="U133" s="18" t="n">
        <v>8</v>
      </c>
      <c r="V133" s="19" t="n">
        <v>0.892</v>
      </c>
      <c r="W133" s="19" t="n">
        <v>0.904</v>
      </c>
      <c r="X133" s="19" t="n">
        <v>0.898</v>
      </c>
      <c r="Y133" s="19" t="n">
        <v>0.967</v>
      </c>
      <c r="Z133" s="18" t="n">
        <v>11.7</v>
      </c>
      <c r="AA133" s="18" t="n">
        <v>44</v>
      </c>
      <c r="AB133" s="18" t="n">
        <v>0.92</v>
      </c>
      <c r="AC133" s="18" t="n">
        <v>5.68</v>
      </c>
      <c r="AD133" s="18" t="n">
        <v>45.5</v>
      </c>
      <c r="AE133" s="18" t="n">
        <v>0</v>
      </c>
      <c r="AF133" s="18" t="n">
        <v>-0.047</v>
      </c>
      <c r="AG133" s="18" t="n">
        <v>0.58</v>
      </c>
      <c r="AH133" s="18" t="n">
        <v>8</v>
      </c>
      <c r="AI133" s="18" t="n">
        <v>114</v>
      </c>
      <c r="AJ133" s="18" t="n">
        <v>1770</v>
      </c>
      <c r="AK133" s="18" t="n">
        <v>210</v>
      </c>
      <c r="AL133" s="18" t="n">
        <v>3</v>
      </c>
      <c r="AM133" s="18" t="n">
        <v>5</v>
      </c>
      <c r="AN133" s="20" t="n">
        <v>-0.0534</v>
      </c>
      <c r="AO133" s="20" t="n">
        <v>0.0775</v>
      </c>
      <c r="AP133" s="20" t="n">
        <v>-0.0574</v>
      </c>
      <c r="AQ133" s="20" t="n">
        <v>0.0608</v>
      </c>
      <c r="AR133" s="18" t="n">
        <v>9</v>
      </c>
      <c r="AS133" s="18" t="n">
        <v>13</v>
      </c>
      <c r="AT133" s="18" t="n">
        <v>8</v>
      </c>
      <c r="AU133" s="18" t="n">
        <v>0</v>
      </c>
      <c r="AV133" s="18" t="n">
        <v>133</v>
      </c>
      <c r="AW133" s="18" t="n">
        <v>12.1</v>
      </c>
      <c r="AX133" s="18" t="n">
        <v>146</v>
      </c>
      <c r="AY133" s="18" t="s">
        <v>406</v>
      </c>
    </row>
    <row r="134" customFormat="false" ht="15" hidden="false" customHeight="false" outlineLevel="0" collapsed="false">
      <c r="A134" s="18" t="n">
        <v>133</v>
      </c>
      <c r="B134" s="18" t="s">
        <v>407</v>
      </c>
      <c r="C134" s="18" t="s">
        <v>267</v>
      </c>
      <c r="D134" s="18"/>
      <c r="E134" s="18" t="n">
        <v>0.7</v>
      </c>
      <c r="F134" s="18" t="n">
        <v>-1.75</v>
      </c>
      <c r="G134" s="18" t="n">
        <v>-0.93</v>
      </c>
      <c r="H134" s="18" t="n">
        <v>0</v>
      </c>
      <c r="I134" s="18" t="n">
        <v>0.7</v>
      </c>
      <c r="J134" s="18" t="n">
        <v>0.7</v>
      </c>
      <c r="K134" s="18" t="n">
        <v>1</v>
      </c>
      <c r="L134" s="18" t="n">
        <v>24</v>
      </c>
      <c r="M134" s="18" t="n">
        <v>20260905</v>
      </c>
      <c r="N134" s="18" t="n">
        <v>0</v>
      </c>
      <c r="O134" s="19" t="n">
        <v>0.9602</v>
      </c>
      <c r="P134" s="18" t="s">
        <v>116</v>
      </c>
      <c r="Q134" s="19" t="n">
        <v>0.963</v>
      </c>
      <c r="R134" s="19" t="n">
        <v>0.957</v>
      </c>
      <c r="S134" s="19" t="n">
        <v>0.96</v>
      </c>
      <c r="T134" s="19" t="n">
        <v>0.984</v>
      </c>
      <c r="U134" s="18" t="n">
        <v>9.5</v>
      </c>
      <c r="V134" s="19" t="n">
        <v>0.923</v>
      </c>
      <c r="W134" s="19" t="n">
        <v>0.889</v>
      </c>
      <c r="X134" s="19" t="n">
        <v>0.906</v>
      </c>
      <c r="Y134" s="19" t="n">
        <v>0.962</v>
      </c>
      <c r="Z134" s="18" t="n">
        <v>14.6</v>
      </c>
      <c r="AA134" s="18" t="n">
        <v>48</v>
      </c>
      <c r="AB134" s="18" t="n">
        <v>1</v>
      </c>
      <c r="AC134" s="18" t="n">
        <v>5.07</v>
      </c>
      <c r="AD134" s="18" t="n">
        <v>48.2</v>
      </c>
      <c r="AE134" s="18" t="n">
        <v>0</v>
      </c>
      <c r="AF134" s="18" t="n">
        <v>0</v>
      </c>
      <c r="AG134" s="18" t="n">
        <v>0.58</v>
      </c>
      <c r="AH134" s="18" t="n">
        <v>8.4</v>
      </c>
      <c r="AI134" s="18" t="n">
        <v>133</v>
      </c>
      <c r="AJ134" s="18" t="n">
        <v>1268</v>
      </c>
      <c r="AK134" s="18" t="n">
        <v>221</v>
      </c>
      <c r="AL134" s="18" t="n">
        <v>2</v>
      </c>
      <c r="AM134" s="18" t="n">
        <v>13</v>
      </c>
      <c r="AN134" s="20" t="n">
        <v>-0.0781</v>
      </c>
      <c r="AO134" s="20" t="n">
        <v>0.1171</v>
      </c>
      <c r="AP134" s="20" t="n">
        <v>-0.0663</v>
      </c>
      <c r="AQ134" s="20" t="n">
        <v>0.1004</v>
      </c>
      <c r="AR134" s="18" t="n">
        <v>7</v>
      </c>
      <c r="AS134" s="18" t="n">
        <v>14</v>
      </c>
      <c r="AT134" s="18" t="n">
        <v>9</v>
      </c>
      <c r="AU134" s="18" t="n">
        <v>0</v>
      </c>
      <c r="AV134" s="18" t="n">
        <v>140</v>
      </c>
      <c r="AW134" s="18" t="n">
        <v>12.6</v>
      </c>
      <c r="AX134" s="18" t="n">
        <v>153.7</v>
      </c>
      <c r="AY134" s="18" t="s">
        <v>408</v>
      </c>
    </row>
    <row r="135" customFormat="false" ht="15" hidden="false" customHeight="false" outlineLevel="0" collapsed="false">
      <c r="A135" s="18" t="n">
        <v>134</v>
      </c>
      <c r="B135" s="18" t="s">
        <v>409</v>
      </c>
      <c r="C135" s="18" t="s">
        <v>267</v>
      </c>
      <c r="D135" s="18"/>
      <c r="E135" s="18" t="n">
        <v>0.7</v>
      </c>
      <c r="F135" s="18" t="n">
        <v>-2</v>
      </c>
      <c r="G135" s="18" t="n">
        <v>-0.93</v>
      </c>
      <c r="H135" s="18" t="n">
        <v>0</v>
      </c>
      <c r="I135" s="18" t="n">
        <v>0.7</v>
      </c>
      <c r="J135" s="18" t="n">
        <v>0.6</v>
      </c>
      <c r="K135" s="18" t="n">
        <v>1</v>
      </c>
      <c r="L135" s="18" t="n">
        <v>24</v>
      </c>
      <c r="M135" s="18" t="n">
        <v>20260906</v>
      </c>
      <c r="N135" s="18" t="n">
        <v>0</v>
      </c>
      <c r="O135" s="19" t="n">
        <v>0.925</v>
      </c>
      <c r="P135" s="18" t="s">
        <v>116</v>
      </c>
      <c r="Q135" s="19" t="n">
        <v>0.907</v>
      </c>
      <c r="R135" s="19" t="n">
        <v>0.943</v>
      </c>
      <c r="S135" s="19" t="n">
        <v>0.925</v>
      </c>
      <c r="T135" s="19" t="n">
        <v>0.973</v>
      </c>
      <c r="U135" s="18" t="n">
        <v>12.3</v>
      </c>
      <c r="V135" s="19" t="n">
        <v>0.885</v>
      </c>
      <c r="W135" s="19" t="n">
        <v>0.932</v>
      </c>
      <c r="X135" s="19" t="n">
        <v>0.909</v>
      </c>
      <c r="Y135" s="19" t="n">
        <v>0.967</v>
      </c>
      <c r="Z135" s="18" t="n">
        <v>13.6</v>
      </c>
      <c r="AA135" s="18" t="n">
        <v>48</v>
      </c>
      <c r="AB135" s="18" t="n">
        <v>1</v>
      </c>
      <c r="AC135" s="18" t="n">
        <v>3.58</v>
      </c>
      <c r="AD135" s="18" t="n">
        <v>44</v>
      </c>
      <c r="AE135" s="18" t="n">
        <v>0</v>
      </c>
      <c r="AF135" s="18" t="n">
        <v>-0.018</v>
      </c>
      <c r="AG135" s="18" t="n">
        <v>0.46</v>
      </c>
      <c r="AH135" s="18" t="n">
        <v>13.1</v>
      </c>
      <c r="AI135" s="18" t="n">
        <v>151</v>
      </c>
      <c r="AJ135" s="18" t="n">
        <v>655</v>
      </c>
      <c r="AK135" s="18" t="n">
        <v>239</v>
      </c>
      <c r="AL135" s="18" t="n">
        <v>3</v>
      </c>
      <c r="AM135" s="18" t="n">
        <v>3</v>
      </c>
      <c r="AN135" s="20" t="n">
        <v>-0.0906</v>
      </c>
      <c r="AO135" s="20" t="n">
        <v>0.1616</v>
      </c>
      <c r="AP135" s="20" t="n">
        <v>-0.1011</v>
      </c>
      <c r="AQ135" s="20" t="n">
        <v>0.1415</v>
      </c>
      <c r="AR135" s="18" t="n">
        <v>10</v>
      </c>
      <c r="AS135" s="18" t="n">
        <v>16</v>
      </c>
      <c r="AT135" s="18" t="n">
        <v>21</v>
      </c>
      <c r="AU135" s="18" t="n">
        <v>0</v>
      </c>
      <c r="AV135" s="18" t="n">
        <v>59</v>
      </c>
      <c r="AW135" s="18" t="n">
        <v>12.3</v>
      </c>
      <c r="AX135" s="18" t="n">
        <v>71.9</v>
      </c>
      <c r="AY135" s="18" t="s">
        <v>410</v>
      </c>
    </row>
    <row r="136" customFormat="false" ht="15" hidden="false" customHeight="false" outlineLevel="0" collapsed="false">
      <c r="A136" s="18" t="n">
        <v>135</v>
      </c>
      <c r="B136" s="18" t="s">
        <v>411</v>
      </c>
      <c r="C136" s="18" t="s">
        <v>151</v>
      </c>
      <c r="D136" s="18"/>
      <c r="E136" s="18" t="n">
        <v>0.7</v>
      </c>
      <c r="F136" s="18" t="n">
        <v>-1.75</v>
      </c>
      <c r="G136" s="18" t="n">
        <v>-0.93</v>
      </c>
      <c r="H136" s="18" t="n">
        <v>0</v>
      </c>
      <c r="I136" s="18" t="n">
        <v>0.7</v>
      </c>
      <c r="J136" s="18" t="n">
        <v>0.6</v>
      </c>
      <c r="K136" s="18" t="n">
        <v>3</v>
      </c>
      <c r="L136" s="18" t="n">
        <v>24</v>
      </c>
      <c r="M136" s="18" t="n">
        <v>20260917</v>
      </c>
      <c r="N136" s="18" t="n">
        <v>1</v>
      </c>
      <c r="O136" s="19" t="n">
        <v>0.9754</v>
      </c>
      <c r="P136" s="18" t="s">
        <v>116</v>
      </c>
      <c r="Q136" s="19" t="n">
        <v>0.972</v>
      </c>
      <c r="R136" s="19" t="n">
        <v>0.979</v>
      </c>
      <c r="S136" s="19" t="n">
        <v>0.975</v>
      </c>
      <c r="T136" s="19" t="n">
        <v>0.991</v>
      </c>
      <c r="U136" s="18" t="n">
        <v>7</v>
      </c>
      <c r="V136" s="19" t="n">
        <v>0.943</v>
      </c>
      <c r="W136" s="19" t="n">
        <v>0.976</v>
      </c>
      <c r="X136" s="19" t="n">
        <v>0.96</v>
      </c>
      <c r="Y136" s="19" t="n">
        <v>0.985</v>
      </c>
      <c r="Z136" s="18" t="n">
        <v>8.9</v>
      </c>
      <c r="AA136" s="18" t="n">
        <v>44</v>
      </c>
      <c r="AB136" s="18" t="n">
        <v>0.92</v>
      </c>
      <c r="AC136" s="18" t="n">
        <v>6.29</v>
      </c>
      <c r="AD136" s="18" t="n">
        <v>44</v>
      </c>
      <c r="AE136" s="18" t="n">
        <v>10.2</v>
      </c>
      <c r="AF136" s="18" t="n">
        <v>-0.013</v>
      </c>
      <c r="AG136" s="18" t="n">
        <v>0.46</v>
      </c>
      <c r="AH136" s="18" t="n">
        <v>5.8</v>
      </c>
      <c r="AI136" s="18" t="n">
        <v>146</v>
      </c>
      <c r="AJ136" s="18" t="n">
        <v>1274</v>
      </c>
      <c r="AK136" s="18" t="n">
        <v>220</v>
      </c>
      <c r="AL136" s="18" t="n">
        <v>3</v>
      </c>
      <c r="AM136" s="18" t="n">
        <v>4</v>
      </c>
      <c r="AN136" s="20" t="n">
        <v>-0.073</v>
      </c>
      <c r="AO136" s="20" t="n">
        <v>0.1255</v>
      </c>
      <c r="AP136" s="20" t="n">
        <v>-0.0836</v>
      </c>
      <c r="AQ136" s="20" t="n">
        <v>0.1092</v>
      </c>
      <c r="AR136" s="18" t="n">
        <v>10</v>
      </c>
      <c r="AS136" s="18" t="n">
        <v>6</v>
      </c>
      <c r="AT136" s="18" t="n">
        <v>9</v>
      </c>
      <c r="AU136" s="18" t="n">
        <v>0</v>
      </c>
      <c r="AV136" s="18" t="n">
        <v>96</v>
      </c>
      <c r="AW136" s="18" t="n">
        <v>16.2</v>
      </c>
      <c r="AX136" s="18" t="n">
        <v>112.9</v>
      </c>
      <c r="AY136" s="18" t="s">
        <v>412</v>
      </c>
    </row>
    <row r="137" customFormat="false" ht="15" hidden="false" customHeight="false" outlineLevel="0" collapsed="false">
      <c r="A137" s="18" t="n">
        <v>136</v>
      </c>
      <c r="B137" s="18" t="s">
        <v>413</v>
      </c>
      <c r="C137" s="18" t="s">
        <v>267</v>
      </c>
      <c r="D137" s="18"/>
      <c r="E137" s="18" t="n">
        <v>0.7</v>
      </c>
      <c r="F137" s="18" t="n">
        <v>-1.75</v>
      </c>
      <c r="G137" s="18" t="n">
        <v>-0.93</v>
      </c>
      <c r="H137" s="18" t="n">
        <v>0</v>
      </c>
      <c r="I137" s="18" t="n">
        <v>0.7</v>
      </c>
      <c r="J137" s="18" t="n">
        <v>0.7</v>
      </c>
      <c r="K137" s="18" t="n">
        <v>1</v>
      </c>
      <c r="L137" s="18" t="n">
        <v>24</v>
      </c>
      <c r="M137" s="18" t="n">
        <v>20260906</v>
      </c>
      <c r="N137" s="18" t="n">
        <v>0</v>
      </c>
      <c r="O137" s="19" t="n">
        <v>0.9251</v>
      </c>
      <c r="P137" s="18" t="s">
        <v>116</v>
      </c>
      <c r="Q137" s="19" t="n">
        <v>0.939</v>
      </c>
      <c r="R137" s="19" t="n">
        <v>0.911</v>
      </c>
      <c r="S137" s="19" t="n">
        <v>0.925</v>
      </c>
      <c r="T137" s="19" t="n">
        <v>0.974</v>
      </c>
      <c r="U137" s="18" t="n">
        <v>11.2</v>
      </c>
      <c r="V137" s="19" t="n">
        <v>0.912</v>
      </c>
      <c r="W137" s="19" t="n">
        <v>0.75</v>
      </c>
      <c r="X137" s="19" t="n">
        <v>0.831</v>
      </c>
      <c r="Y137" s="19" t="n">
        <v>0.942</v>
      </c>
      <c r="Z137" s="18" t="n">
        <v>16.9</v>
      </c>
      <c r="AA137" s="18" t="n">
        <v>48</v>
      </c>
      <c r="AB137" s="18" t="n">
        <v>1</v>
      </c>
      <c r="AC137" s="18" t="n">
        <v>3.72</v>
      </c>
      <c r="AD137" s="18" t="n">
        <v>41.8</v>
      </c>
      <c r="AE137" s="18" t="n">
        <v>0</v>
      </c>
      <c r="AF137" s="18" t="n">
        <v>-0.027</v>
      </c>
      <c r="AG137" s="18" t="n">
        <v>0.5</v>
      </c>
      <c r="AH137" s="18" t="n">
        <v>9.5</v>
      </c>
      <c r="AI137" s="18" t="n">
        <v>144</v>
      </c>
      <c r="AJ137" s="18" t="n">
        <v>1244</v>
      </c>
      <c r="AK137" s="18" t="n">
        <v>223</v>
      </c>
      <c r="AL137" s="18" t="n">
        <v>1</v>
      </c>
      <c r="AM137" s="18" t="n">
        <v>4</v>
      </c>
      <c r="AN137" s="20" t="n">
        <v>-0.078</v>
      </c>
      <c r="AO137" s="20" t="n">
        <v>0.1152</v>
      </c>
      <c r="AP137" s="20" t="n">
        <v>-0.0668</v>
      </c>
      <c r="AQ137" s="20" t="n">
        <v>0.0938</v>
      </c>
      <c r="AR137" s="18" t="n">
        <v>7</v>
      </c>
      <c r="AS137" s="18" t="n">
        <v>9</v>
      </c>
      <c r="AT137" s="18" t="n">
        <v>5</v>
      </c>
      <c r="AU137" s="18" t="n">
        <v>0</v>
      </c>
      <c r="AV137" s="18" t="n">
        <v>80</v>
      </c>
      <c r="AW137" s="18" t="n">
        <v>12.2</v>
      </c>
      <c r="AX137" s="18" t="n">
        <v>93.1</v>
      </c>
      <c r="AY137" s="18" t="s">
        <v>414</v>
      </c>
    </row>
    <row r="138" customFormat="false" ht="15" hidden="false" customHeight="false" outlineLevel="0" collapsed="false">
      <c r="A138" s="18" t="n">
        <v>137</v>
      </c>
      <c r="B138" s="18" t="s">
        <v>415</v>
      </c>
      <c r="C138" s="18" t="s">
        <v>267</v>
      </c>
      <c r="D138" s="18"/>
      <c r="E138" s="18" t="n">
        <v>0.7</v>
      </c>
      <c r="F138" s="18" t="n">
        <v>-1.5</v>
      </c>
      <c r="G138" s="18" t="n">
        <v>-0.93</v>
      </c>
      <c r="H138" s="18" t="n">
        <v>0</v>
      </c>
      <c r="I138" s="18" t="n">
        <v>0.7</v>
      </c>
      <c r="J138" s="18" t="n">
        <v>0.6</v>
      </c>
      <c r="K138" s="18" t="n">
        <v>1</v>
      </c>
      <c r="L138" s="18" t="n">
        <v>24</v>
      </c>
      <c r="M138" s="18" t="n">
        <v>20260906</v>
      </c>
      <c r="N138" s="18" t="n">
        <v>0</v>
      </c>
      <c r="O138" s="19" t="n">
        <v>0.9057</v>
      </c>
      <c r="P138" s="18" t="s">
        <v>116</v>
      </c>
      <c r="Q138" s="19" t="n">
        <v>0.928</v>
      </c>
      <c r="R138" s="19" t="n">
        <v>0.884</v>
      </c>
      <c r="S138" s="19" t="n">
        <v>0.906</v>
      </c>
      <c r="T138" s="19" t="n">
        <v>0.969</v>
      </c>
      <c r="U138" s="18" t="n">
        <v>11.9</v>
      </c>
      <c r="V138" s="19" t="n">
        <v>0.879</v>
      </c>
      <c r="W138" s="19" t="n">
        <v>0.911</v>
      </c>
      <c r="X138" s="19" t="n">
        <v>0.895</v>
      </c>
      <c r="Y138" s="19" t="n">
        <v>0.965</v>
      </c>
      <c r="Z138" s="18" t="n">
        <v>12.8</v>
      </c>
      <c r="AA138" s="18" t="n">
        <v>44</v>
      </c>
      <c r="AB138" s="18" t="n">
        <v>0.92</v>
      </c>
      <c r="AC138" s="18" t="n">
        <v>3.32</v>
      </c>
      <c r="AD138" s="18" t="n">
        <v>39.7</v>
      </c>
      <c r="AE138" s="18" t="n">
        <v>0</v>
      </c>
      <c r="AF138" s="18" t="n">
        <v>-0.009</v>
      </c>
      <c r="AG138" s="18" t="n">
        <v>0.5</v>
      </c>
      <c r="AH138" s="18" t="n">
        <v>8.5</v>
      </c>
      <c r="AI138" s="18" t="n">
        <v>129</v>
      </c>
      <c r="AJ138" s="18" t="n">
        <v>1752</v>
      </c>
      <c r="AK138" s="18" t="n">
        <v>214</v>
      </c>
      <c r="AL138" s="18" t="n">
        <v>3</v>
      </c>
      <c r="AM138" s="18" t="n">
        <v>5</v>
      </c>
      <c r="AN138" s="20" t="n">
        <v>-0.0491</v>
      </c>
      <c r="AO138" s="20" t="n">
        <v>0.076</v>
      </c>
      <c r="AP138" s="20" t="n">
        <v>-0.0669</v>
      </c>
      <c r="AQ138" s="20" t="n">
        <v>0.066</v>
      </c>
      <c r="AR138" s="18" t="n">
        <v>9</v>
      </c>
      <c r="AS138" s="18" t="n">
        <v>12</v>
      </c>
      <c r="AT138" s="18" t="n">
        <v>22</v>
      </c>
      <c r="AU138" s="18" t="n">
        <v>0</v>
      </c>
      <c r="AV138" s="18" t="n">
        <v>130</v>
      </c>
      <c r="AW138" s="18" t="n">
        <v>12.3</v>
      </c>
      <c r="AX138" s="18" t="n">
        <v>143.1</v>
      </c>
      <c r="AY138" s="18" t="s">
        <v>416</v>
      </c>
    </row>
    <row r="139" customFormat="false" ht="15" hidden="false" customHeight="false" outlineLevel="0" collapsed="false">
      <c r="A139" s="18" t="n">
        <v>138</v>
      </c>
      <c r="B139" s="18" t="s">
        <v>417</v>
      </c>
      <c r="C139" s="18" t="s">
        <v>267</v>
      </c>
      <c r="D139" s="18"/>
      <c r="E139" s="18" t="n">
        <v>0.7</v>
      </c>
      <c r="F139" s="18" t="n">
        <v>-2</v>
      </c>
      <c r="G139" s="18" t="n">
        <v>-0.93</v>
      </c>
      <c r="H139" s="18" t="n">
        <v>0</v>
      </c>
      <c r="I139" s="18" t="n">
        <v>0.7</v>
      </c>
      <c r="J139" s="18" t="n">
        <v>0.7</v>
      </c>
      <c r="K139" s="18" t="n">
        <v>3</v>
      </c>
      <c r="L139" s="18" t="n">
        <v>24</v>
      </c>
      <c r="M139" s="18" t="n">
        <v>20260906</v>
      </c>
      <c r="N139" s="18" t="n">
        <v>0</v>
      </c>
      <c r="O139" s="19" t="n">
        <v>0.9819</v>
      </c>
      <c r="P139" s="18" t="s">
        <v>116</v>
      </c>
      <c r="Q139" s="19" t="n">
        <v>0.981</v>
      </c>
      <c r="R139" s="19" t="n">
        <v>0.983</v>
      </c>
      <c r="S139" s="19" t="n">
        <v>0.982</v>
      </c>
      <c r="T139" s="19" t="n">
        <v>0.994</v>
      </c>
      <c r="U139" s="18" t="n">
        <v>5.7</v>
      </c>
      <c r="V139" s="19" t="n">
        <v>0.96</v>
      </c>
      <c r="W139" s="19" t="n">
        <v>0.947</v>
      </c>
      <c r="X139" s="19" t="n">
        <v>0.953</v>
      </c>
      <c r="Y139" s="19" t="n">
        <v>0.985</v>
      </c>
      <c r="Z139" s="18" t="n">
        <v>9.1</v>
      </c>
      <c r="AA139" s="18" t="n">
        <v>48</v>
      </c>
      <c r="AB139" s="18" t="n">
        <v>1</v>
      </c>
      <c r="AC139" s="18" t="n">
        <v>7.66</v>
      </c>
      <c r="AD139" s="18" t="n">
        <v>43.3</v>
      </c>
      <c r="AE139" s="18" t="n">
        <v>9.7</v>
      </c>
      <c r="AF139" s="18" t="n">
        <v>0.007</v>
      </c>
      <c r="AG139" s="18" t="n">
        <v>0.54</v>
      </c>
      <c r="AH139" s="18" t="n">
        <v>7.4</v>
      </c>
      <c r="AI139" s="18" t="n">
        <v>150</v>
      </c>
      <c r="AJ139" s="18" t="n">
        <v>651</v>
      </c>
      <c r="AK139" s="18" t="n">
        <v>238</v>
      </c>
      <c r="AL139" s="18" t="n">
        <v>1</v>
      </c>
      <c r="AM139" s="18" t="n">
        <v>6</v>
      </c>
      <c r="AN139" s="20" t="n">
        <v>-0.0882</v>
      </c>
      <c r="AO139" s="20" t="n">
        <v>0.1428</v>
      </c>
      <c r="AP139" s="20" t="n">
        <v>-0.0882</v>
      </c>
      <c r="AQ139" s="20" t="n">
        <v>0.1469</v>
      </c>
      <c r="AR139" s="18" t="n">
        <v>7</v>
      </c>
      <c r="AS139" s="18" t="n">
        <v>16</v>
      </c>
      <c r="AT139" s="18" t="n">
        <v>7</v>
      </c>
      <c r="AU139" s="18" t="n">
        <v>0</v>
      </c>
      <c r="AV139" s="18" t="n">
        <v>98</v>
      </c>
      <c r="AW139" s="18" t="n">
        <v>16.5</v>
      </c>
      <c r="AX139" s="18" t="n">
        <v>238.1</v>
      </c>
      <c r="AY139" s="18" t="s">
        <v>418</v>
      </c>
    </row>
    <row r="141" customFormat="false" ht="15" hidden="false" customHeight="false" outlineLevel="0" collapsed="false">
      <c r="A141" s="21" t="s">
        <v>419</v>
      </c>
    </row>
  </sheetData>
  <autoFilter ref="A1:AY1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7" min="4" style="0" width="10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" t="s">
        <v>420</v>
      </c>
    </row>
    <row r="2" customFormat="false" ht="15" hidden="false" customHeight="false" outlineLevel="0" collapsed="false">
      <c r="A2" s="16" t="s">
        <v>421</v>
      </c>
    </row>
    <row r="4" customFormat="false" ht="15" hidden="false" customHeight="false" outlineLevel="0" collapsed="false">
      <c r="A4" s="22" t="s">
        <v>66</v>
      </c>
    </row>
    <row r="5" customFormat="false" ht="15" hidden="false" customHeight="false" outlineLevel="0" collapsed="false">
      <c r="A5" s="6" t="s">
        <v>29</v>
      </c>
      <c r="B5" s="17" t="s">
        <v>422</v>
      </c>
      <c r="C5" s="6" t="s">
        <v>423</v>
      </c>
      <c r="D5" s="6" t="s">
        <v>424</v>
      </c>
      <c r="E5" s="6" t="s">
        <v>425</v>
      </c>
      <c r="F5" s="6" t="s">
        <v>426</v>
      </c>
      <c r="G5" s="6" t="s">
        <v>427</v>
      </c>
      <c r="H5" s="6" t="s">
        <v>428</v>
      </c>
    </row>
    <row r="6" customFormat="false" ht="15" hidden="false" customHeight="false" outlineLevel="0" collapsed="false">
      <c r="A6" s="15" t="n">
        <v>0.4</v>
      </c>
      <c r="B6" s="11" t="n">
        <f aca="false">COUNTIFS(Rounds!$E:$E,A6)</f>
        <v>2</v>
      </c>
      <c r="C6" s="13" t="n">
        <f aca="false">AVERAGEIFS(Rounds!$O:$O,Rounds!$E:$E,A6)</f>
        <v>0.83905</v>
      </c>
      <c r="D6" s="13" t="n">
        <v>0.83905</v>
      </c>
      <c r="E6" s="13" t="n">
        <v>0.7791</v>
      </c>
      <c r="F6" s="13" t="n">
        <v>0.899</v>
      </c>
      <c r="G6" s="14" t="n">
        <f aca="false">AVERAGEIFS(Rounds!$U:$U,Rounds!$E:$E,A6)</f>
        <v>5.05</v>
      </c>
      <c r="H6" s="12"/>
    </row>
    <row r="7" customFormat="false" ht="15" hidden="false" customHeight="false" outlineLevel="0" collapsed="false">
      <c r="A7" s="15" t="n">
        <v>0.5</v>
      </c>
      <c r="B7" s="11" t="n">
        <f aca="false">COUNTIFS(Rounds!$E:$E,A7)</f>
        <v>21</v>
      </c>
      <c r="C7" s="13" t="n">
        <f aca="false">AVERAGEIFS(Rounds!$O:$O,Rounds!$E:$E,A7)</f>
        <v>0.867466666666667</v>
      </c>
      <c r="D7" s="13" t="n">
        <v>0.8765</v>
      </c>
      <c r="E7" s="13" t="n">
        <v>0.7271</v>
      </c>
      <c r="F7" s="13" t="n">
        <v>0.944</v>
      </c>
      <c r="G7" s="14" t="n">
        <f aca="false">AVERAGEIFS(Rounds!$U:$U,Rounds!$E:$E,A7)</f>
        <v>7.27142857142857</v>
      </c>
      <c r="H7" s="12"/>
    </row>
    <row r="8" customFormat="false" ht="15" hidden="false" customHeight="false" outlineLevel="0" collapsed="false">
      <c r="A8" s="15" t="n">
        <v>0.6</v>
      </c>
      <c r="B8" s="11" t="n">
        <f aca="false">COUNTIFS(Rounds!$E:$E,A8)</f>
        <v>11</v>
      </c>
      <c r="C8" s="13" t="n">
        <f aca="false">AVERAGEIFS(Rounds!$O:$O,Rounds!$E:$E,A8)</f>
        <v>0.952581818181818</v>
      </c>
      <c r="D8" s="13" t="n">
        <v>0.9509</v>
      </c>
      <c r="E8" s="13" t="n">
        <v>0.924</v>
      </c>
      <c r="F8" s="13" t="n">
        <v>0.9808</v>
      </c>
      <c r="G8" s="14" t="n">
        <f aca="false">AVERAGEIFS(Rounds!$U:$U,Rounds!$E:$E,A8)</f>
        <v>6.26363636363637</v>
      </c>
      <c r="H8" s="12"/>
    </row>
    <row r="9" customFormat="false" ht="15" hidden="false" customHeight="false" outlineLevel="0" collapsed="false">
      <c r="A9" s="15" t="n">
        <v>0.7</v>
      </c>
      <c r="B9" s="11" t="n">
        <f aca="false">COUNTIFS(Rounds!$E:$E,A9)</f>
        <v>83</v>
      </c>
      <c r="C9" s="13" t="n">
        <f aca="false">AVERAGEIFS(Rounds!$O:$O,Rounds!$E:$E,A9)</f>
        <v>0.972159036144578</v>
      </c>
      <c r="D9" s="13" t="n">
        <v>0.9771</v>
      </c>
      <c r="E9" s="13" t="n">
        <v>0.9057</v>
      </c>
      <c r="F9" s="13" t="n">
        <v>0.9902</v>
      </c>
      <c r="G9" s="14" t="n">
        <f aca="false">AVERAGEIFS(Rounds!$U:$U,Rounds!$E:$E,A9)</f>
        <v>6.82409638554217</v>
      </c>
      <c r="H9" s="12"/>
    </row>
    <row r="10" customFormat="false" ht="15" hidden="false" customHeight="false" outlineLevel="0" collapsed="false">
      <c r="A10" s="15" t="n">
        <v>0.75</v>
      </c>
      <c r="B10" s="11" t="n">
        <f aca="false">COUNTIFS(Rounds!$E:$E,A10)</f>
        <v>21</v>
      </c>
      <c r="C10" s="13" t="n">
        <f aca="false">AVERAGEIFS(Rounds!$O:$O,Rounds!$E:$E,A10)</f>
        <v>0.966566666666667</v>
      </c>
      <c r="D10" s="13" t="n">
        <v>0.9792</v>
      </c>
      <c r="E10" s="13" t="n">
        <v>0.8394</v>
      </c>
      <c r="F10" s="13" t="n">
        <v>0.9877</v>
      </c>
      <c r="G10" s="14" t="n">
        <f aca="false">AVERAGEIFS(Rounds!$U:$U,Rounds!$E:$E,A10)</f>
        <v>7.66666666666667</v>
      </c>
      <c r="H10" s="12"/>
    </row>
    <row r="12" customFormat="false" ht="15" hidden="false" customHeight="false" outlineLevel="0" collapsed="false">
      <c r="A12" s="22" t="s">
        <v>67</v>
      </c>
    </row>
    <row r="13" customFormat="false" ht="15" hidden="false" customHeight="false" outlineLevel="0" collapsed="false">
      <c r="A13" s="6" t="s">
        <v>29</v>
      </c>
      <c r="B13" s="17" t="s">
        <v>422</v>
      </c>
      <c r="C13" s="6" t="s">
        <v>423</v>
      </c>
      <c r="D13" s="6" t="s">
        <v>424</v>
      </c>
      <c r="E13" s="6" t="s">
        <v>425</v>
      </c>
      <c r="F13" s="6" t="s">
        <v>426</v>
      </c>
      <c r="G13" s="6" t="s">
        <v>427</v>
      </c>
      <c r="H13" s="6" t="s">
        <v>428</v>
      </c>
    </row>
    <row r="14" customFormat="false" ht="15" hidden="false" customHeight="false" outlineLevel="0" collapsed="false">
      <c r="A14" s="15" t="n">
        <v>-2</v>
      </c>
      <c r="B14" s="11" t="n">
        <f aca="false">COUNTIFS(Rounds!$F:$F,A14)</f>
        <v>13</v>
      </c>
      <c r="C14" s="13" t="n">
        <f aca="false">AVERAGEIFS(Rounds!$O:$O,Rounds!$F:$F,A14)</f>
        <v>0.969730769230769</v>
      </c>
      <c r="D14" s="13" t="n">
        <v>0.9809</v>
      </c>
      <c r="E14" s="13" t="n">
        <v>0.925</v>
      </c>
      <c r="F14" s="13" t="n">
        <v>0.9871</v>
      </c>
      <c r="G14" s="14" t="n">
        <f aca="false">AVERAGEIFS(Rounds!$U:$U,Rounds!$F:$F,A14)</f>
        <v>7.87692307692308</v>
      </c>
      <c r="H14" s="12"/>
    </row>
    <row r="15" customFormat="false" ht="15" hidden="false" customHeight="false" outlineLevel="0" collapsed="false">
      <c r="A15" s="15" t="n">
        <v>-1.75</v>
      </c>
      <c r="B15" s="11" t="n">
        <f aca="false">COUNTIFS(Rounds!$F:$F,A15)</f>
        <v>34</v>
      </c>
      <c r="C15" s="13" t="n">
        <f aca="false">AVERAGEIFS(Rounds!$O:$O,Rounds!$F:$F,A15)</f>
        <v>0.974741176470588</v>
      </c>
      <c r="D15" s="13" t="n">
        <v>0.9797</v>
      </c>
      <c r="E15" s="13" t="n">
        <v>0.9164</v>
      </c>
      <c r="F15" s="13" t="n">
        <v>0.9902</v>
      </c>
      <c r="G15" s="14" t="n">
        <f aca="false">AVERAGEIFS(Rounds!$U:$U,Rounds!$F:$F,A15)</f>
        <v>7.05882352941176</v>
      </c>
      <c r="H15" s="12"/>
    </row>
    <row r="16" customFormat="false" ht="15" hidden="false" customHeight="false" outlineLevel="0" collapsed="false">
      <c r="A16" s="15" t="n">
        <v>-1.5</v>
      </c>
      <c r="B16" s="11" t="n">
        <f aca="false">COUNTIFS(Rounds!$F:$F,A16)</f>
        <v>20</v>
      </c>
      <c r="C16" s="13" t="n">
        <f aca="false">AVERAGEIFS(Rounds!$O:$O,Rounds!$F:$F,A16)</f>
        <v>0.965195</v>
      </c>
      <c r="D16" s="13" t="n">
        <v>0.97855</v>
      </c>
      <c r="E16" s="13" t="n">
        <v>0.8835</v>
      </c>
      <c r="F16" s="13" t="n">
        <v>0.9891</v>
      </c>
      <c r="G16" s="14" t="n">
        <f aca="false">AVERAGEIFS(Rounds!$U:$U,Rounds!$F:$F,A16)</f>
        <v>6.57</v>
      </c>
      <c r="H16" s="12"/>
    </row>
    <row r="17" customFormat="false" ht="15" hidden="false" customHeight="false" outlineLevel="0" collapsed="false">
      <c r="A17" s="15" t="n">
        <v>-1.25</v>
      </c>
      <c r="B17" s="11" t="n">
        <f aca="false">COUNTIFS(Rounds!$F:$F,A17)</f>
        <v>69</v>
      </c>
      <c r="C17" s="13" t="n">
        <f aca="false">AVERAGEIFS(Rounds!$O:$O,Rounds!$F:$F,A17)</f>
        <v>0.937894202898551</v>
      </c>
      <c r="D17" s="13" t="n">
        <v>0.9603</v>
      </c>
      <c r="E17" s="13" t="n">
        <v>0.7271</v>
      </c>
      <c r="F17" s="13" t="n">
        <v>0.9873</v>
      </c>
      <c r="G17" s="14" t="n">
        <f aca="false">AVERAGEIFS(Rounds!$U:$U,Rounds!$F:$F,A17)</f>
        <v>6.78405797101449</v>
      </c>
      <c r="H17" s="12"/>
    </row>
    <row r="18" customFormat="false" ht="15" hidden="false" customHeight="false" outlineLevel="0" collapsed="false">
      <c r="A18" s="15" t="n">
        <v>-1</v>
      </c>
      <c r="B18" s="11" t="n">
        <f aca="false">COUNTIFS(Rounds!$F:$F,A18)</f>
        <v>2</v>
      </c>
      <c r="C18" s="13" t="n">
        <f aca="false">AVERAGEIFS(Rounds!$O:$O,Rounds!$F:$F,A18)</f>
        <v>0.79705</v>
      </c>
      <c r="D18" s="13" t="n">
        <v>0.79705</v>
      </c>
      <c r="E18" s="13" t="n">
        <v>0.7624</v>
      </c>
      <c r="F18" s="13" t="n">
        <v>0.8317</v>
      </c>
      <c r="G18" s="14" t="n">
        <f aca="false">AVERAGEIFS(Rounds!$U:$U,Rounds!$F:$F,A18)</f>
        <v>8.6</v>
      </c>
      <c r="H18" s="12"/>
    </row>
    <row r="20" customFormat="false" ht="15" hidden="false" customHeight="false" outlineLevel="0" collapsed="false">
      <c r="A20" s="22" t="s">
        <v>69</v>
      </c>
    </row>
    <row r="21" customFormat="false" ht="15" hidden="false" customHeight="false" outlineLevel="0" collapsed="false">
      <c r="A21" s="6" t="s">
        <v>29</v>
      </c>
      <c r="B21" s="17" t="s">
        <v>422</v>
      </c>
      <c r="C21" s="6" t="s">
        <v>423</v>
      </c>
      <c r="D21" s="6" t="s">
        <v>424</v>
      </c>
      <c r="E21" s="6" t="s">
        <v>425</v>
      </c>
      <c r="F21" s="6" t="s">
        <v>426</v>
      </c>
      <c r="G21" s="6" t="s">
        <v>427</v>
      </c>
      <c r="H21" s="6" t="s">
        <v>428</v>
      </c>
    </row>
    <row r="22" customFormat="false" ht="15" hidden="false" customHeight="false" outlineLevel="0" collapsed="false">
      <c r="A22" s="15" t="n">
        <v>-0.2</v>
      </c>
      <c r="B22" s="11" t="n">
        <f aca="false">COUNTIFS(Rounds!$H:$H,A22)</f>
        <v>1</v>
      </c>
      <c r="C22" s="13" t="n">
        <f aca="false">AVERAGEIFS(Rounds!$O:$O,Rounds!$H:$H,A22)</f>
        <v>0.8515</v>
      </c>
      <c r="D22" s="13" t="n">
        <v>0.8515</v>
      </c>
      <c r="E22" s="13" t="n">
        <v>0.8515</v>
      </c>
      <c r="F22" s="13" t="n">
        <v>0.8515</v>
      </c>
      <c r="G22" s="14" t="n">
        <f aca="false">AVERAGEIFS(Rounds!$U:$U,Rounds!$H:$H,A22)</f>
        <v>7.5</v>
      </c>
      <c r="H22" s="12"/>
    </row>
    <row r="23" customFormat="false" ht="15" hidden="false" customHeight="false" outlineLevel="0" collapsed="false">
      <c r="A23" s="15" t="n">
        <v>-0.1</v>
      </c>
      <c r="B23" s="11" t="n">
        <f aca="false">COUNTIFS(Rounds!$H:$H,A23)</f>
        <v>3</v>
      </c>
      <c r="C23" s="13" t="n">
        <f aca="false">AVERAGEIFS(Rounds!$O:$O,Rounds!$H:$H,A23)</f>
        <v>0.902433333333333</v>
      </c>
      <c r="D23" s="13" t="n">
        <v>0.9116</v>
      </c>
      <c r="E23" s="13" t="n">
        <v>0.8339</v>
      </c>
      <c r="F23" s="13" t="n">
        <v>0.9618</v>
      </c>
      <c r="G23" s="14" t="n">
        <f aca="false">AVERAGEIFS(Rounds!$U:$U,Rounds!$H:$H,A23)</f>
        <v>7.3</v>
      </c>
      <c r="H23" s="12"/>
    </row>
    <row r="24" customFormat="false" ht="15" hidden="false" customHeight="false" outlineLevel="0" collapsed="false">
      <c r="A24" s="15" t="n">
        <v>0</v>
      </c>
      <c r="B24" s="11" t="n">
        <f aca="false">COUNTIFS(Rounds!$H:$H,A24)</f>
        <v>131</v>
      </c>
      <c r="C24" s="13" t="n">
        <f aca="false">AVERAGEIFS(Rounds!$O:$O,Rounds!$H:$H,A24)</f>
        <v>0.954289312977099</v>
      </c>
      <c r="D24" s="13" t="n">
        <v>0.9752</v>
      </c>
      <c r="E24" s="13" t="n">
        <v>0.7271</v>
      </c>
      <c r="F24" s="13" t="n">
        <v>0.9902</v>
      </c>
      <c r="G24" s="14" t="n">
        <f aca="false">AVERAGEIFS(Rounds!$U:$U,Rounds!$H:$H,A24)</f>
        <v>6.93740458015267</v>
      </c>
      <c r="H24" s="12"/>
    </row>
    <row r="25" customFormat="false" ht="15" hidden="false" customHeight="false" outlineLevel="0" collapsed="false">
      <c r="A25" s="15" t="n">
        <v>0.1</v>
      </c>
      <c r="B25" s="11" t="n">
        <f aca="false">COUNTIFS(Rounds!$H:$H,A25)</f>
        <v>3</v>
      </c>
      <c r="C25" s="13" t="n">
        <f aca="false">AVERAGEIFS(Rounds!$O:$O,Rounds!$H:$H,A25)</f>
        <v>0.9299</v>
      </c>
      <c r="D25" s="13" t="n">
        <v>0.9423</v>
      </c>
      <c r="E25" s="13" t="n">
        <v>0.8825</v>
      </c>
      <c r="F25" s="13" t="n">
        <v>0.9649</v>
      </c>
      <c r="G25" s="14" t="n">
        <f aca="false">AVERAGEIFS(Rounds!$U:$U,Rounds!$H:$H,A25)</f>
        <v>6.96666666666667</v>
      </c>
      <c r="H25" s="12"/>
    </row>
    <row r="27" customFormat="false" ht="15" hidden="false" customHeight="false" outlineLevel="0" collapsed="false">
      <c r="A27" s="22" t="s">
        <v>70</v>
      </c>
    </row>
    <row r="28" customFormat="false" ht="15" hidden="false" customHeight="false" outlineLevel="0" collapsed="false">
      <c r="A28" s="6" t="s">
        <v>29</v>
      </c>
      <c r="B28" s="17" t="s">
        <v>422</v>
      </c>
      <c r="C28" s="6" t="s">
        <v>423</v>
      </c>
      <c r="D28" s="6" t="s">
        <v>424</v>
      </c>
      <c r="E28" s="6" t="s">
        <v>425</v>
      </c>
      <c r="F28" s="6" t="s">
        <v>426</v>
      </c>
      <c r="G28" s="6" t="s">
        <v>427</v>
      </c>
      <c r="H28" s="6" t="s">
        <v>428</v>
      </c>
    </row>
    <row r="29" customFormat="false" ht="15" hidden="false" customHeight="false" outlineLevel="0" collapsed="false">
      <c r="A29" s="15" t="n">
        <v>0.5</v>
      </c>
      <c r="B29" s="11" t="n">
        <f aca="false">COUNTIFS(Rounds!$I:$I,A29)</f>
        <v>12</v>
      </c>
      <c r="C29" s="13" t="n">
        <f aca="false">AVERAGEIFS(Rounds!$O:$O,Rounds!$I:$I,A29)</f>
        <v>0.861241666666667</v>
      </c>
      <c r="D29" s="13" t="n">
        <v>0.8795</v>
      </c>
      <c r="E29" s="13" t="n">
        <v>0.7271</v>
      </c>
      <c r="F29" s="13" t="n">
        <v>0.9509</v>
      </c>
      <c r="G29" s="14" t="n">
        <f aca="false">AVERAGEIFS(Rounds!$U:$U,Rounds!$I:$I,A29)</f>
        <v>7.34166666666667</v>
      </c>
      <c r="H29" s="12"/>
    </row>
    <row r="30" customFormat="false" ht="15" hidden="false" customHeight="false" outlineLevel="0" collapsed="false">
      <c r="A30" s="15" t="n">
        <v>0.6</v>
      </c>
      <c r="B30" s="11" t="n">
        <f aca="false">COUNTIFS(Rounds!$I:$I,A30)</f>
        <v>14</v>
      </c>
      <c r="C30" s="13" t="n">
        <f aca="false">AVERAGEIFS(Rounds!$O:$O,Rounds!$I:$I,A30)</f>
        <v>0.898257142857143</v>
      </c>
      <c r="D30" s="13" t="n">
        <v>0.91555</v>
      </c>
      <c r="E30" s="13" t="n">
        <v>0.7791</v>
      </c>
      <c r="F30" s="13" t="n">
        <v>0.9726</v>
      </c>
      <c r="G30" s="14" t="n">
        <f aca="false">AVERAGEIFS(Rounds!$U:$U,Rounds!$I:$I,A30)</f>
        <v>6.47857142857143</v>
      </c>
      <c r="H30" s="12"/>
    </row>
    <row r="31" customFormat="false" ht="15" hidden="false" customHeight="false" outlineLevel="0" collapsed="false">
      <c r="A31" s="15" t="n">
        <v>0.7</v>
      </c>
      <c r="B31" s="11" t="n">
        <f aca="false">COUNTIFS(Rounds!$I:$I,A31)</f>
        <v>89</v>
      </c>
      <c r="C31" s="13" t="n">
        <f aca="false">AVERAGEIFS(Rounds!$O:$O,Rounds!$I:$I,A31)</f>
        <v>0.967280898876404</v>
      </c>
      <c r="D31" s="13" t="n">
        <v>0.9768</v>
      </c>
      <c r="E31" s="13" t="n">
        <v>0.8069</v>
      </c>
      <c r="F31" s="13" t="n">
        <v>0.9902</v>
      </c>
      <c r="G31" s="14" t="n">
        <f aca="false">AVERAGEIFS(Rounds!$U:$U,Rounds!$I:$I,A31)</f>
        <v>6.98876404494382</v>
      </c>
      <c r="H31" s="12"/>
    </row>
    <row r="32" customFormat="false" ht="15" hidden="false" customHeight="false" outlineLevel="0" collapsed="false">
      <c r="A32" s="15" t="n">
        <v>0.8</v>
      </c>
      <c r="B32" s="11" t="n">
        <f aca="false">COUNTIFS(Rounds!$I:$I,A32)</f>
        <v>23</v>
      </c>
      <c r="C32" s="13" t="n">
        <f aca="false">AVERAGEIFS(Rounds!$O:$O,Rounds!$I:$I,A32)</f>
        <v>0.97225652173913</v>
      </c>
      <c r="D32" s="13" t="n">
        <v>0.98</v>
      </c>
      <c r="E32" s="13" t="n">
        <v>0.9441</v>
      </c>
      <c r="F32" s="13" t="n">
        <v>0.985</v>
      </c>
      <c r="G32" s="14" t="n">
        <f aca="false">AVERAGEIFS(Rounds!$U:$U,Rounds!$I:$I,A32)</f>
        <v>6.88260869565217</v>
      </c>
      <c r="H32" s="12"/>
    </row>
    <row r="34" customFormat="false" ht="15" hidden="false" customHeight="false" outlineLevel="0" collapsed="false">
      <c r="A34" s="22" t="s">
        <v>71</v>
      </c>
    </row>
    <row r="35" customFormat="false" ht="15" hidden="false" customHeight="false" outlineLevel="0" collapsed="false">
      <c r="A35" s="6" t="s">
        <v>29</v>
      </c>
      <c r="B35" s="17" t="s">
        <v>422</v>
      </c>
      <c r="C35" s="6" t="s">
        <v>423</v>
      </c>
      <c r="D35" s="6" t="s">
        <v>424</v>
      </c>
      <c r="E35" s="6" t="s">
        <v>425</v>
      </c>
      <c r="F35" s="6" t="s">
        <v>426</v>
      </c>
      <c r="G35" s="6" t="s">
        <v>427</v>
      </c>
      <c r="H35" s="6" t="s">
        <v>428</v>
      </c>
    </row>
    <row r="36" customFormat="false" ht="15" hidden="false" customHeight="false" outlineLevel="0" collapsed="false">
      <c r="A36" s="15" t="n">
        <v>0.4</v>
      </c>
      <c r="B36" s="11" t="n">
        <f aca="false">COUNTIFS(Rounds!$J:$J,A36)</f>
        <v>2</v>
      </c>
      <c r="C36" s="13" t="n">
        <f aca="false">AVERAGEIFS(Rounds!$O:$O,Rounds!$J:$J,A36)</f>
        <v>0.86465</v>
      </c>
      <c r="D36" s="13" t="n">
        <v>0.86465</v>
      </c>
      <c r="E36" s="13" t="n">
        <v>0.8528</v>
      </c>
      <c r="F36" s="13" t="n">
        <v>0.8765</v>
      </c>
      <c r="G36" s="14" t="n">
        <f aca="false">AVERAGEIFS(Rounds!$U:$U,Rounds!$J:$J,A36)</f>
        <v>8.15</v>
      </c>
      <c r="H36" s="12"/>
    </row>
    <row r="37" customFormat="false" ht="15" hidden="false" customHeight="false" outlineLevel="0" collapsed="false">
      <c r="A37" s="15" t="n">
        <v>0.5</v>
      </c>
      <c r="B37" s="11" t="n">
        <f aca="false">COUNTIFS(Rounds!$J:$J,A37)</f>
        <v>29</v>
      </c>
      <c r="C37" s="13" t="n">
        <f aca="false">AVERAGEIFS(Rounds!$O:$O,Rounds!$J:$J,A37)</f>
        <v>0.890934482758621</v>
      </c>
      <c r="D37" s="13" t="n">
        <v>0.9116</v>
      </c>
      <c r="E37" s="13" t="n">
        <v>0.7271</v>
      </c>
      <c r="F37" s="13" t="n">
        <v>0.9632</v>
      </c>
      <c r="G37" s="14" t="n">
        <f aca="false">AVERAGEIFS(Rounds!$U:$U,Rounds!$J:$J,A37)</f>
        <v>7.13793103448276</v>
      </c>
      <c r="H37" s="12"/>
    </row>
    <row r="38" customFormat="false" ht="15" hidden="false" customHeight="false" outlineLevel="0" collapsed="false">
      <c r="A38" s="15" t="n">
        <v>0.6</v>
      </c>
      <c r="B38" s="11" t="n">
        <f aca="false">COUNTIFS(Rounds!$J:$J,A38)</f>
        <v>84</v>
      </c>
      <c r="C38" s="13" t="n">
        <f aca="false">AVERAGEIFS(Rounds!$O:$O,Rounds!$J:$J,A38)</f>
        <v>0.969036904761905</v>
      </c>
      <c r="D38" s="13" t="n">
        <v>0.97705</v>
      </c>
      <c r="E38" s="13" t="n">
        <v>0.8394</v>
      </c>
      <c r="F38" s="13" t="n">
        <v>0.9902</v>
      </c>
      <c r="G38" s="14" t="n">
        <f aca="false">AVERAGEIFS(Rounds!$U:$U,Rounds!$J:$J,A38)</f>
        <v>6.95595238095238</v>
      </c>
      <c r="H38" s="12"/>
    </row>
    <row r="39" customFormat="false" ht="15" hidden="false" customHeight="false" outlineLevel="0" collapsed="false">
      <c r="A39" s="15" t="n">
        <v>0.7</v>
      </c>
      <c r="B39" s="11" t="n">
        <f aca="false">COUNTIFS(Rounds!$J:$J,A39)</f>
        <v>23</v>
      </c>
      <c r="C39" s="13" t="n">
        <f aca="false">AVERAGEIFS(Rounds!$O:$O,Rounds!$J:$J,A39)</f>
        <v>0.973691304347826</v>
      </c>
      <c r="D39" s="13" t="n">
        <v>0.9795</v>
      </c>
      <c r="E39" s="13" t="n">
        <v>0.9251</v>
      </c>
      <c r="F39" s="13" t="n">
        <v>0.9858</v>
      </c>
      <c r="G39" s="14" t="n">
        <f aca="false">AVERAGEIFS(Rounds!$U:$U,Rounds!$J:$J,A39)</f>
        <v>6.58695652173913</v>
      </c>
      <c r="H39" s="12"/>
    </row>
    <row r="41" customFormat="false" ht="15" hidden="false" customHeight="false" outlineLevel="0" collapsed="false">
      <c r="A41" s="22" t="s">
        <v>72</v>
      </c>
    </row>
    <row r="42" customFormat="false" ht="15" hidden="false" customHeight="false" outlineLevel="0" collapsed="false">
      <c r="A42" s="6" t="s">
        <v>29</v>
      </c>
      <c r="B42" s="17" t="s">
        <v>422</v>
      </c>
      <c r="C42" s="6" t="s">
        <v>423</v>
      </c>
      <c r="D42" s="6" t="s">
        <v>424</v>
      </c>
      <c r="E42" s="6" t="s">
        <v>425</v>
      </c>
      <c r="F42" s="6" t="s">
        <v>426</v>
      </c>
      <c r="G42" s="6" t="s">
        <v>427</v>
      </c>
      <c r="H42" s="6" t="s">
        <v>428</v>
      </c>
    </row>
    <row r="43" customFormat="false" ht="15" hidden="false" customHeight="false" outlineLevel="0" collapsed="false">
      <c r="A43" s="15" t="n">
        <v>1</v>
      </c>
      <c r="B43" s="11" t="n">
        <f aca="false">COUNTIFS(Rounds!$K:$K,A43)</f>
        <v>9</v>
      </c>
      <c r="C43" s="13" t="n">
        <f aca="false">AVERAGEIFS(Rounds!$O:$O,Rounds!$K:$K,A43)</f>
        <v>0.939566666666667</v>
      </c>
      <c r="D43" s="13" t="n">
        <v>0.9484</v>
      </c>
      <c r="E43" s="13" t="n">
        <v>0.9057</v>
      </c>
      <c r="F43" s="13" t="n">
        <v>0.9654</v>
      </c>
      <c r="G43" s="14" t="n">
        <f aca="false">AVERAGEIFS(Rounds!$U:$U,Rounds!$K:$K,A43)</f>
        <v>10.7111111111111</v>
      </c>
      <c r="H43" s="12"/>
    </row>
    <row r="44" customFormat="false" ht="15" hidden="false" customHeight="false" outlineLevel="0" collapsed="false">
      <c r="A44" s="15" t="n">
        <v>3</v>
      </c>
      <c r="B44" s="11" t="n">
        <f aca="false">COUNTIFS(Rounds!$K:$K,A44)</f>
        <v>127</v>
      </c>
      <c r="C44" s="13" t="n">
        <f aca="false">AVERAGEIFS(Rounds!$O:$O,Rounds!$K:$K,A44)</f>
        <v>0.952235433070866</v>
      </c>
      <c r="D44" s="13" t="n">
        <v>0.9752</v>
      </c>
      <c r="E44" s="13" t="n">
        <v>0.7271</v>
      </c>
      <c r="F44" s="13" t="n">
        <v>0.9902</v>
      </c>
      <c r="G44" s="14" t="n">
        <f aca="false">AVERAGEIFS(Rounds!$U:$U,Rounds!$K:$K,A44)</f>
        <v>6.71181102362205</v>
      </c>
      <c r="H44" s="12"/>
    </row>
    <row r="45" customFormat="false" ht="15" hidden="false" customHeight="false" outlineLevel="0" collapsed="false">
      <c r="A45" s="15" t="n">
        <v>6</v>
      </c>
      <c r="B45" s="11" t="n">
        <f aca="false">COUNTIFS(Rounds!$K:$K,A45)</f>
        <v>2</v>
      </c>
      <c r="C45" s="13" t="n">
        <f aca="false">AVERAGEIFS(Rounds!$O:$O,Rounds!$K:$K,A45)</f>
        <v>0.9852</v>
      </c>
      <c r="D45" s="13" t="n">
        <v>0.9852</v>
      </c>
      <c r="E45" s="13" t="n">
        <v>0.9802</v>
      </c>
      <c r="F45" s="13" t="n">
        <v>0.9902</v>
      </c>
      <c r="G45" s="14" t="n">
        <f aca="false">AVERAGEIFS(Rounds!$U:$U,Rounds!$K:$K,A45)</f>
        <v>5.15</v>
      </c>
      <c r="H45" s="12"/>
    </row>
    <row r="47" customFormat="false" ht="15" hidden="false" customHeight="false" outlineLevel="0" collapsed="false">
      <c r="A47" s="10" t="s">
        <v>429</v>
      </c>
    </row>
    <row r="48" customFormat="false" ht="29.85" hidden="false" customHeight="false" outlineLevel="0" collapsed="false">
      <c r="A48" s="6" t="s">
        <v>430</v>
      </c>
      <c r="B48" s="6" t="s">
        <v>29</v>
      </c>
      <c r="C48" s="17" t="s">
        <v>422</v>
      </c>
      <c r="D48" s="6" t="s">
        <v>424</v>
      </c>
      <c r="E48" s="6" t="s">
        <v>431</v>
      </c>
      <c r="F48" s="6"/>
      <c r="G48" s="6"/>
      <c r="H48" s="6" t="s">
        <v>428</v>
      </c>
    </row>
    <row r="49" customFormat="false" ht="15" hidden="false" customHeight="false" outlineLevel="0" collapsed="false">
      <c r="A49" s="23" t="s">
        <v>66</v>
      </c>
      <c r="B49" s="15" t="n">
        <v>0.4</v>
      </c>
      <c r="C49" s="11" t="n">
        <v>2</v>
      </c>
      <c r="D49" s="13" t="n">
        <v>0.8391</v>
      </c>
      <c r="E49" s="12" t="s">
        <v>432</v>
      </c>
      <c r="F49" s="12"/>
      <c r="G49" s="12"/>
      <c r="H49" s="12"/>
    </row>
    <row r="50" customFormat="false" ht="15" hidden="false" customHeight="false" outlineLevel="0" collapsed="false">
      <c r="A50" s="23" t="s">
        <v>66</v>
      </c>
      <c r="B50" s="15" t="n">
        <v>0.5</v>
      </c>
      <c r="C50" s="11" t="n">
        <v>12</v>
      </c>
      <c r="D50" s="13" t="n">
        <v>0.8698</v>
      </c>
      <c r="E50" s="12" t="s">
        <v>432</v>
      </c>
      <c r="F50" s="12"/>
      <c r="G50" s="12"/>
      <c r="H50" s="12"/>
    </row>
    <row r="51" customFormat="false" ht="15" hidden="false" customHeight="false" outlineLevel="0" collapsed="false">
      <c r="A51" s="23" t="s">
        <v>66</v>
      </c>
      <c r="B51" s="15" t="n">
        <v>0.6</v>
      </c>
      <c r="C51" s="11" t="n">
        <v>9</v>
      </c>
      <c r="D51" s="13" t="n">
        <v>0.9509</v>
      </c>
      <c r="E51" s="12" t="s">
        <v>432</v>
      </c>
      <c r="F51" s="12"/>
      <c r="G51" s="12"/>
      <c r="H51" s="12"/>
    </row>
    <row r="52" customFormat="false" ht="15" hidden="false" customHeight="false" outlineLevel="0" collapsed="false">
      <c r="A52" s="23" t="s">
        <v>66</v>
      </c>
      <c r="B52" s="15" t="n">
        <v>0.7</v>
      </c>
      <c r="C52" s="11" t="n">
        <v>26</v>
      </c>
      <c r="D52" s="13" t="n">
        <v>0.9743</v>
      </c>
      <c r="E52" s="12" t="s">
        <v>432</v>
      </c>
      <c r="F52" s="12"/>
      <c r="G52" s="12"/>
      <c r="H52" s="12"/>
    </row>
    <row r="53" customFormat="false" ht="15" hidden="false" customHeight="false" outlineLevel="0" collapsed="false">
      <c r="A53" s="23" t="s">
        <v>66</v>
      </c>
      <c r="B53" s="15" t="n">
        <v>0.75</v>
      </c>
      <c r="C53" s="11" t="n">
        <v>13</v>
      </c>
      <c r="D53" s="13" t="n">
        <v>0.9624</v>
      </c>
      <c r="E53" s="12" t="s">
        <v>432</v>
      </c>
      <c r="F53" s="12"/>
      <c r="G53" s="12"/>
      <c r="H53" s="12"/>
    </row>
    <row r="55" customFormat="false" ht="15" hidden="false" customHeight="false" outlineLevel="0" collapsed="false">
      <c r="A55" s="23" t="s">
        <v>433</v>
      </c>
      <c r="B55" s="15" t="n">
        <v>-1.25</v>
      </c>
      <c r="C55" s="11" t="n">
        <v>14</v>
      </c>
      <c r="D55" s="13" t="n">
        <v>0.9751</v>
      </c>
      <c r="E55" s="12" t="s">
        <v>434</v>
      </c>
      <c r="F55" s="12"/>
      <c r="G55" s="12"/>
      <c r="H55" s="12"/>
    </row>
    <row r="56" customFormat="false" ht="15" hidden="false" customHeight="false" outlineLevel="0" collapsed="false">
      <c r="A56" s="23" t="s">
        <v>433</v>
      </c>
      <c r="B56" s="15" t="n">
        <v>-1.5</v>
      </c>
      <c r="C56" s="11" t="n">
        <v>8</v>
      </c>
      <c r="D56" s="13" t="n">
        <v>0.9786</v>
      </c>
      <c r="E56" s="12" t="s">
        <v>434</v>
      </c>
      <c r="F56" s="12"/>
      <c r="G56" s="12"/>
      <c r="H56" s="12"/>
    </row>
    <row r="57" customFormat="false" ht="15" hidden="false" customHeight="false" outlineLevel="0" collapsed="false">
      <c r="A57" s="23" t="s">
        <v>433</v>
      </c>
      <c r="B57" s="15" t="n">
        <v>-1.75</v>
      </c>
      <c r="C57" s="11" t="n">
        <v>13</v>
      </c>
      <c r="D57" s="13" t="n">
        <v>0.9804</v>
      </c>
      <c r="E57" s="12" t="s">
        <v>434</v>
      </c>
      <c r="F57" s="12"/>
      <c r="G57" s="12"/>
      <c r="H57" s="12"/>
    </row>
    <row r="58" customFormat="false" ht="15" hidden="false" customHeight="false" outlineLevel="0" collapsed="false">
      <c r="A58" s="23" t="s">
        <v>433</v>
      </c>
      <c r="B58" s="15" t="n">
        <v>-2</v>
      </c>
      <c r="C58" s="11" t="n">
        <v>7</v>
      </c>
      <c r="D58" s="13" t="n">
        <v>0.9812</v>
      </c>
      <c r="E58" s="12" t="s">
        <v>434</v>
      </c>
      <c r="F58" s="12"/>
      <c r="G58" s="12"/>
      <c r="H58" s="12"/>
    </row>
    <row r="60" customFormat="false" ht="15" hidden="false" customHeight="false" outlineLevel="0" collapsed="false">
      <c r="A60" s="23" t="s">
        <v>435</v>
      </c>
      <c r="B60" s="15" t="n">
        <v>0.5</v>
      </c>
      <c r="C60" s="11" t="n">
        <v>2</v>
      </c>
      <c r="D60" s="13" t="n">
        <v>0.9612</v>
      </c>
      <c r="E60" s="12" t="s">
        <v>436</v>
      </c>
      <c r="F60" s="12"/>
      <c r="G60" s="12"/>
      <c r="H60" s="12"/>
    </row>
    <row r="61" customFormat="false" ht="15" hidden="false" customHeight="false" outlineLevel="0" collapsed="false">
      <c r="A61" s="23" t="s">
        <v>435</v>
      </c>
      <c r="B61" s="15" t="n">
        <v>0.6</v>
      </c>
      <c r="C61" s="11" t="n">
        <v>14</v>
      </c>
      <c r="D61" s="13" t="n">
        <v>0.9751</v>
      </c>
      <c r="E61" s="12" t="s">
        <v>436</v>
      </c>
      <c r="F61" s="12"/>
      <c r="G61" s="12"/>
      <c r="H61" s="12"/>
    </row>
    <row r="62" customFormat="false" ht="15" hidden="false" customHeight="false" outlineLevel="0" collapsed="false">
      <c r="A62" s="23" t="s">
        <v>435</v>
      </c>
      <c r="B62" s="15" t="n">
        <v>0.7</v>
      </c>
      <c r="C62" s="11" t="n">
        <v>5</v>
      </c>
      <c r="D62" s="13" t="n">
        <v>0.9768</v>
      </c>
      <c r="E62" s="12" t="s">
        <v>436</v>
      </c>
      <c r="F62" s="12"/>
      <c r="G62" s="12"/>
      <c r="H62" s="12"/>
    </row>
    <row r="64" customFormat="false" ht="15" hidden="false" customHeight="false" outlineLevel="0" collapsed="false">
      <c r="A64" s="23" t="s">
        <v>437</v>
      </c>
      <c r="B64" s="15" t="n">
        <v>0.7</v>
      </c>
      <c r="C64" s="11" t="n">
        <v>13</v>
      </c>
      <c r="D64" s="13" t="n">
        <v>0.9804</v>
      </c>
      <c r="E64" s="12" t="s">
        <v>438</v>
      </c>
      <c r="F64" s="12"/>
      <c r="G64" s="12"/>
      <c r="H64" s="12"/>
    </row>
    <row r="65" customFormat="false" ht="15" hidden="false" customHeight="false" outlineLevel="0" collapsed="false">
      <c r="A65" s="23" t="s">
        <v>437</v>
      </c>
      <c r="B65" s="15" t="n">
        <v>0.8</v>
      </c>
      <c r="C65" s="11" t="n">
        <v>3</v>
      </c>
      <c r="D65" s="13" t="n">
        <v>0.9775</v>
      </c>
      <c r="E65" s="12" t="s">
        <v>438</v>
      </c>
      <c r="F65" s="12"/>
      <c r="G65" s="12"/>
      <c r="H65" s="12"/>
    </row>
    <row r="67" customFormat="false" ht="15" hidden="false" customHeight="false" outlineLevel="0" collapsed="false">
      <c r="A67" s="23" t="s">
        <v>439</v>
      </c>
      <c r="B67" s="15" t="n">
        <v>-0.1</v>
      </c>
      <c r="C67" s="11" t="n">
        <v>1</v>
      </c>
      <c r="D67" s="13" t="n">
        <v>0.9618</v>
      </c>
      <c r="E67" s="12" t="s">
        <v>440</v>
      </c>
      <c r="F67" s="12"/>
      <c r="G67" s="12"/>
      <c r="H67" s="12"/>
    </row>
    <row r="68" customFormat="false" ht="15" hidden="false" customHeight="false" outlineLevel="0" collapsed="false">
      <c r="A68" s="23" t="s">
        <v>439</v>
      </c>
      <c r="B68" s="15" t="n">
        <v>0</v>
      </c>
      <c r="C68" s="11" t="n">
        <v>14</v>
      </c>
      <c r="D68" s="13" t="n">
        <v>0.9751</v>
      </c>
      <c r="E68" s="12" t="s">
        <v>440</v>
      </c>
      <c r="F68" s="12"/>
      <c r="G68" s="12"/>
      <c r="H68" s="12"/>
    </row>
    <row r="69" customFormat="false" ht="15" hidden="false" customHeight="false" outlineLevel="0" collapsed="false">
      <c r="A69" s="23" t="s">
        <v>439</v>
      </c>
      <c r="B69" s="15" t="n">
        <v>0.1</v>
      </c>
      <c r="C69" s="11" t="n">
        <v>1</v>
      </c>
      <c r="D69" s="13" t="n">
        <v>0.9649</v>
      </c>
      <c r="E69" s="12" t="s">
        <v>440</v>
      </c>
      <c r="F69" s="12"/>
      <c r="G69" s="12"/>
      <c r="H69" s="12"/>
    </row>
    <row r="71" customFormat="false" ht="15" hidden="false" customHeight="false" outlineLevel="0" collapsed="false">
      <c r="A71" s="23" t="s">
        <v>441</v>
      </c>
      <c r="B71" s="15" t="n">
        <v>1</v>
      </c>
      <c r="C71" s="11" t="n">
        <v>3</v>
      </c>
      <c r="D71" s="13" t="n">
        <v>0.9484</v>
      </c>
      <c r="E71" s="12" t="s">
        <v>442</v>
      </c>
      <c r="F71" s="12"/>
      <c r="G71" s="12"/>
      <c r="H71" s="12"/>
    </row>
    <row r="72" customFormat="false" ht="15" hidden="false" customHeight="false" outlineLevel="0" collapsed="false">
      <c r="A72" s="23" t="s">
        <v>441</v>
      </c>
      <c r="B72" s="15" t="n">
        <v>3</v>
      </c>
      <c r="C72" s="11" t="n">
        <v>13</v>
      </c>
      <c r="D72" s="13" t="n">
        <v>0.9804</v>
      </c>
      <c r="E72" s="12" t="s">
        <v>442</v>
      </c>
      <c r="F72" s="12"/>
      <c r="G72" s="12"/>
      <c r="H72" s="12"/>
    </row>
    <row r="73" customFormat="false" ht="15" hidden="false" customHeight="false" outlineLevel="0" collapsed="false">
      <c r="A73" s="23" t="s">
        <v>441</v>
      </c>
      <c r="B73" s="15" t="n">
        <v>6</v>
      </c>
      <c r="C73" s="11" t="n">
        <v>2</v>
      </c>
      <c r="D73" s="13" t="n">
        <v>0.9852</v>
      </c>
      <c r="E73" s="12" t="s">
        <v>442</v>
      </c>
      <c r="F73" s="12"/>
      <c r="G73" s="12"/>
      <c r="H7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8" min="6" style="0" width="14"/>
    <col collapsed="false" customWidth="true" hidden="false" outlineLevel="0" max="9" min="9" style="0" width="50"/>
  </cols>
  <sheetData>
    <row r="1" customFormat="false" ht="20.1" hidden="false" customHeight="false" outlineLevel="0" collapsed="false">
      <c r="A1" s="1" t="s">
        <v>443</v>
      </c>
    </row>
    <row r="3" customFormat="false" ht="23.85" hidden="false" customHeight="false" outlineLevel="0" collapsed="false">
      <c r="A3" s="6" t="s">
        <v>444</v>
      </c>
      <c r="B3" s="17" t="s">
        <v>445</v>
      </c>
      <c r="C3" s="17" t="s">
        <v>446</v>
      </c>
      <c r="D3" s="17" t="s">
        <v>447</v>
      </c>
      <c r="E3" s="17" t="s">
        <v>448</v>
      </c>
      <c r="F3" s="17" t="s">
        <v>449</v>
      </c>
      <c r="G3" s="17" t="s">
        <v>450</v>
      </c>
      <c r="H3" s="17" t="s">
        <v>451</v>
      </c>
      <c r="I3" s="17" t="s">
        <v>452</v>
      </c>
    </row>
    <row r="4" customFormat="false" ht="15" hidden="false" customHeight="false" outlineLevel="0" collapsed="false">
      <c r="A4" s="11" t="n">
        <v>1</v>
      </c>
      <c r="B4" s="13" t="n">
        <v>0.9827</v>
      </c>
      <c r="C4" s="13" t="n">
        <v>0.9815</v>
      </c>
      <c r="D4" s="13" t="n">
        <v>0.9859</v>
      </c>
      <c r="E4" s="13" t="n">
        <v>0.9361</v>
      </c>
      <c r="F4" s="24" t="n">
        <f aca="false">C4-B4</f>
        <v>-0.00119999999999998</v>
      </c>
      <c r="G4" s="24" t="n">
        <f aca="false">D4-B4</f>
        <v>0.00319999999999998</v>
      </c>
      <c r="H4" s="24" t="n">
        <f aca="false">E4-B4</f>
        <v>-0.0466</v>
      </c>
      <c r="I4" s="12" t="s">
        <v>453</v>
      </c>
    </row>
    <row r="5" customFormat="false" ht="15" hidden="false" customHeight="false" outlineLevel="0" collapsed="false">
      <c r="A5" s="11" t="n">
        <v>2</v>
      </c>
      <c r="B5" s="13" t="n">
        <v>0.9873</v>
      </c>
      <c r="C5" s="13" t="n">
        <v>0.9891</v>
      </c>
      <c r="D5" s="13" t="n">
        <v>0.9794</v>
      </c>
      <c r="E5" s="13" t="n">
        <v>0.9812</v>
      </c>
      <c r="F5" s="24" t="n">
        <f aca="false">C5-B5</f>
        <v>0.00180000000000002</v>
      </c>
      <c r="G5" s="24" t="n">
        <f aca="false">D5-B5</f>
        <v>-0.00789999999999991</v>
      </c>
      <c r="H5" s="24" t="n">
        <f aca="false">E5-B5</f>
        <v>-0.00609999999999999</v>
      </c>
      <c r="I5" s="12" t="s">
        <v>454</v>
      </c>
    </row>
    <row r="6" customFormat="false" ht="15" hidden="false" customHeight="false" outlineLevel="0" collapsed="false">
      <c r="A6" s="11" t="n">
        <v>3</v>
      </c>
      <c r="B6" s="13" t="n">
        <v>0.9763</v>
      </c>
      <c r="C6" s="13" t="n">
        <v>0.9771</v>
      </c>
      <c r="D6" s="13" t="n">
        <v>0.9852</v>
      </c>
      <c r="E6" s="13" t="n">
        <v>0.9678</v>
      </c>
      <c r="F6" s="24" t="n">
        <f aca="false">C6-B6</f>
        <v>0.000800000000000023</v>
      </c>
      <c r="G6" s="24" t="n">
        <f aca="false">D6-B6</f>
        <v>0.00890000000000002</v>
      </c>
      <c r="H6" s="24" t="n">
        <f aca="false">E6-B6</f>
        <v>-0.00849999999999995</v>
      </c>
      <c r="I6" s="12" t="s">
        <v>455</v>
      </c>
    </row>
    <row r="7" customFormat="false" ht="15" hidden="false" customHeight="false" outlineLevel="0" collapsed="false">
      <c r="A7" s="11" t="n">
        <v>4</v>
      </c>
      <c r="B7" s="13" t="n">
        <v>0.9716</v>
      </c>
      <c r="C7" s="13" t="n">
        <v>0.9837</v>
      </c>
      <c r="D7" s="13" t="n">
        <v>0.9859</v>
      </c>
      <c r="E7" s="13" t="n">
        <v>0.9819</v>
      </c>
      <c r="F7" s="24" t="n">
        <f aca="false">C7-B7</f>
        <v>0.0121</v>
      </c>
      <c r="G7" s="24" t="n">
        <f aca="false">D7-B7</f>
        <v>0.0143</v>
      </c>
      <c r="H7" s="24" t="n">
        <f aca="false">E7-B7</f>
        <v>0.0103</v>
      </c>
      <c r="I7" s="12" t="s">
        <v>456</v>
      </c>
    </row>
    <row r="8" customFormat="false" ht="15" hidden="false" customHeight="false" outlineLevel="0" collapsed="false">
      <c r="A8" s="2" t="s">
        <v>423</v>
      </c>
      <c r="B8" s="25" t="n">
        <f aca="false">AVERAGE(B4:B7)</f>
        <v>0.979475</v>
      </c>
      <c r="C8" s="25" t="n">
        <f aca="false">AVERAGE(C4:C7)</f>
        <v>0.98285</v>
      </c>
      <c r="D8" s="25" t="n">
        <f aca="false">AVERAGE(D4:D7)</f>
        <v>0.9841</v>
      </c>
      <c r="E8" s="25" t="n">
        <f aca="false">AVERAGE(E4:E7)</f>
        <v>0.96675</v>
      </c>
      <c r="F8" s="26" t="n">
        <f aca="false">AVERAGE(F4:F7)</f>
        <v>0.00337500000000002</v>
      </c>
      <c r="G8" s="26" t="n">
        <f aca="false">AVERAGE(G4:G7)</f>
        <v>0.00462500000000002</v>
      </c>
      <c r="H8" s="26" t="n">
        <f aca="false">AVERAGE(H4:H7)</f>
        <v>-0.012725</v>
      </c>
    </row>
    <row r="9" customFormat="false" ht="15" hidden="false" customHeight="false" outlineLevel="0" collapsed="false">
      <c r="A9" s="2" t="s">
        <v>424</v>
      </c>
      <c r="B9" s="25" t="n">
        <f aca="false">MEDIAN(B4:B7)</f>
        <v>0.9795</v>
      </c>
      <c r="C9" s="25" t="n">
        <f aca="false">MEDIAN(C4:C7)</f>
        <v>0.9826</v>
      </c>
      <c r="D9" s="25" t="n">
        <f aca="false">MEDIAN(D4:D7)</f>
        <v>0.98555</v>
      </c>
      <c r="E9" s="25" t="n">
        <f aca="false">MEDIAN(E4:E7)</f>
        <v>0.9745</v>
      </c>
      <c r="F9" s="26" t="n">
        <f aca="false">MEDIAN(F4:F7)</f>
        <v>0.00130000000000002</v>
      </c>
      <c r="G9" s="26" t="n">
        <f aca="false">MEDIAN(G4:G7)</f>
        <v>0.00605</v>
      </c>
      <c r="H9" s="26" t="n">
        <f aca="false">MEDIAN(H4:H7)</f>
        <v>-0.00729999999999997</v>
      </c>
    </row>
    <row r="11" customFormat="false" ht="15" hidden="false" customHeight="false" outlineLevel="0" collapsed="false">
      <c r="A11" s="16" t="s">
        <v>457</v>
      </c>
    </row>
    <row r="13" customFormat="false" ht="15" hidden="false" customHeight="false" outlineLevel="0" collapsed="false">
      <c r="A13" s="17" t="s">
        <v>458</v>
      </c>
      <c r="B13" s="17" t="s">
        <v>459</v>
      </c>
      <c r="C13" s="17" t="s">
        <v>460</v>
      </c>
      <c r="D13" s="6" t="s">
        <v>461</v>
      </c>
      <c r="E13" s="17" t="s">
        <v>462</v>
      </c>
      <c r="F13" s="17" t="s">
        <v>463</v>
      </c>
      <c r="G13" s="17" t="s">
        <v>464</v>
      </c>
      <c r="H13" s="17" t="s">
        <v>465</v>
      </c>
      <c r="I13" s="6" t="s">
        <v>428</v>
      </c>
    </row>
    <row r="14" customFormat="false" ht="15" hidden="false" customHeight="false" outlineLevel="0" collapsed="false">
      <c r="A14" s="15" t="n">
        <v>-1.25</v>
      </c>
      <c r="B14" s="11" t="n">
        <v>14</v>
      </c>
      <c r="C14" s="11" t="n">
        <v>186.357142857143</v>
      </c>
      <c r="D14" s="14" t="n">
        <v>38.4285714285714</v>
      </c>
      <c r="E14" s="14" t="n">
        <v>5.93571428571429</v>
      </c>
      <c r="F14" s="11" t="n">
        <v>2081</v>
      </c>
      <c r="G14" s="11" t="n">
        <v>115.428571428571</v>
      </c>
      <c r="H14" s="14" t="n">
        <v>7.77142857142857</v>
      </c>
      <c r="I14" s="27" t="s">
        <v>466</v>
      </c>
    </row>
    <row r="15" customFormat="false" ht="15" hidden="false" customHeight="false" outlineLevel="0" collapsed="false">
      <c r="A15" s="15" t="n">
        <v>-1.5</v>
      </c>
      <c r="B15" s="11" t="n">
        <v>8</v>
      </c>
      <c r="C15" s="11" t="n">
        <v>206.875</v>
      </c>
      <c r="D15" s="14" t="n">
        <v>42.375</v>
      </c>
      <c r="E15" s="14" t="n">
        <v>6.1875</v>
      </c>
      <c r="F15" s="11" t="n">
        <v>1735</v>
      </c>
      <c r="G15" s="11" t="n">
        <v>120.625</v>
      </c>
      <c r="H15" s="14" t="n">
        <v>8.1625</v>
      </c>
      <c r="I15" s="27" t="s">
        <v>466</v>
      </c>
    </row>
    <row r="16" customFormat="false" ht="15" hidden="false" customHeight="false" outlineLevel="0" collapsed="false">
      <c r="A16" s="15" t="n">
        <v>-1.75</v>
      </c>
      <c r="B16" s="11" t="n">
        <v>13</v>
      </c>
      <c r="C16" s="11" t="n">
        <v>226.538461538462</v>
      </c>
      <c r="D16" s="14" t="n">
        <v>46.9846153846154</v>
      </c>
      <c r="E16" s="14" t="n">
        <v>6.23846153846154</v>
      </c>
      <c r="F16" s="11" t="n">
        <v>1255</v>
      </c>
      <c r="G16" s="11" t="n">
        <v>137.615384615385</v>
      </c>
      <c r="H16" s="14" t="n">
        <v>9.3</v>
      </c>
      <c r="I16" s="27" t="s">
        <v>466</v>
      </c>
    </row>
    <row r="17" customFormat="false" ht="15" hidden="false" customHeight="false" outlineLevel="0" collapsed="false">
      <c r="A17" s="15" t="n">
        <v>-2</v>
      </c>
      <c r="B17" s="11" t="n">
        <v>7</v>
      </c>
      <c r="C17" s="11" t="n">
        <v>233.714285714286</v>
      </c>
      <c r="D17" s="14" t="n">
        <v>47.6428571428572</v>
      </c>
      <c r="E17" s="14" t="n">
        <v>7.64285714285714</v>
      </c>
      <c r="F17" s="11" t="n">
        <v>666</v>
      </c>
      <c r="G17" s="11" t="n">
        <v>139.714285714286</v>
      </c>
      <c r="H17" s="14" t="n">
        <v>10.5714285714286</v>
      </c>
      <c r="I17" s="27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5"/>
    <col collapsed="false" customWidth="true" hidden="false" outlineLevel="0" max="15" min="9" style="0" width="8"/>
    <col collapsed="false" customWidth="true" hidden="false" outlineLevel="0" max="17" min="16" style="0" width="7"/>
    <col collapsed="false" customWidth="true" hidden="false" outlineLevel="0" max="18" min="18" style="0" width="10"/>
    <col collapsed="false" customWidth="true" hidden="false" outlineLevel="0" max="20" min="19" style="0" width="7"/>
  </cols>
  <sheetData>
    <row r="1" customFormat="false" ht="35.05" hidden="false" customHeight="false" outlineLevel="0" collapsed="false">
      <c r="A1" s="17" t="s">
        <v>467</v>
      </c>
      <c r="B1" s="17" t="s">
        <v>66</v>
      </c>
      <c r="C1" s="17" t="s">
        <v>67</v>
      </c>
      <c r="D1" s="17" t="s">
        <v>69</v>
      </c>
      <c r="E1" s="17" t="s">
        <v>70</v>
      </c>
      <c r="F1" s="17" t="s">
        <v>71</v>
      </c>
      <c r="G1" s="17" t="s">
        <v>72</v>
      </c>
      <c r="H1" s="17" t="s">
        <v>422</v>
      </c>
      <c r="I1" s="17" t="s">
        <v>468</v>
      </c>
      <c r="J1" s="17" t="s">
        <v>469</v>
      </c>
      <c r="K1" s="17" t="s">
        <v>470</v>
      </c>
      <c r="L1" s="17" t="s">
        <v>471</v>
      </c>
      <c r="M1" s="17" t="s">
        <v>472</v>
      </c>
      <c r="N1" s="17" t="s">
        <v>82</v>
      </c>
      <c r="O1" s="17" t="s">
        <v>92</v>
      </c>
      <c r="P1" s="17" t="s">
        <v>90</v>
      </c>
      <c r="Q1" s="17" t="s">
        <v>473</v>
      </c>
      <c r="R1" s="17" t="s">
        <v>97</v>
      </c>
      <c r="S1" s="17" t="s">
        <v>474</v>
      </c>
      <c r="T1" s="17" t="s">
        <v>111</v>
      </c>
    </row>
    <row r="2" customFormat="false" ht="15" hidden="false" customHeight="false" outlineLevel="0" collapsed="false">
      <c r="A2" s="18" t="n">
        <v>1</v>
      </c>
      <c r="B2" s="18" t="n">
        <v>0.75</v>
      </c>
      <c r="C2" s="18" t="n">
        <v>-2</v>
      </c>
      <c r="D2" s="18" t="n">
        <v>0</v>
      </c>
      <c r="E2" s="18" t="n">
        <v>0.7</v>
      </c>
      <c r="F2" s="18" t="n">
        <v>0.6</v>
      </c>
      <c r="G2" s="18" t="n">
        <v>3</v>
      </c>
      <c r="H2" s="18" t="n">
        <v>1</v>
      </c>
      <c r="I2" s="19" t="n">
        <v>0.9871</v>
      </c>
      <c r="J2" s="19" t="n">
        <v>0.9871</v>
      </c>
      <c r="K2" s="18"/>
      <c r="L2" s="19" t="n">
        <v>0.9871</v>
      </c>
      <c r="M2" s="19" t="n">
        <v>0.9871</v>
      </c>
      <c r="N2" s="28" t="n">
        <v>6.6</v>
      </c>
      <c r="O2" s="28" t="n">
        <v>11.4</v>
      </c>
      <c r="P2" s="29" t="n">
        <v>8.99</v>
      </c>
      <c r="Q2" s="30" t="n">
        <v>237</v>
      </c>
      <c r="R2" s="30" t="n">
        <v>682</v>
      </c>
      <c r="S2" s="30" t="n">
        <v>129</v>
      </c>
      <c r="T2" s="30" t="n">
        <v>195.6</v>
      </c>
    </row>
    <row r="3" customFormat="false" ht="15" hidden="false" customHeight="false" outlineLevel="0" collapsed="false">
      <c r="A3" s="18" t="n">
        <v>2</v>
      </c>
      <c r="B3" s="18" t="n">
        <v>0.75</v>
      </c>
      <c r="C3" s="18" t="n">
        <v>-1.75</v>
      </c>
      <c r="D3" s="18" t="n">
        <v>0</v>
      </c>
      <c r="E3" s="18" t="n">
        <v>0.7</v>
      </c>
      <c r="F3" s="18" t="n">
        <v>0.7</v>
      </c>
      <c r="G3" s="18" t="n">
        <v>3</v>
      </c>
      <c r="H3" s="18" t="n">
        <v>1</v>
      </c>
      <c r="I3" s="19" t="n">
        <v>0.9858</v>
      </c>
      <c r="J3" s="19" t="n">
        <v>0.9858</v>
      </c>
      <c r="K3" s="18"/>
      <c r="L3" s="19" t="n">
        <v>0.9858</v>
      </c>
      <c r="M3" s="19" t="n">
        <v>0.9858</v>
      </c>
      <c r="N3" s="28" t="n">
        <v>6.7</v>
      </c>
      <c r="O3" s="28" t="n">
        <v>10.4</v>
      </c>
      <c r="P3" s="29" t="n">
        <v>8.34</v>
      </c>
      <c r="Q3" s="30" t="n">
        <v>224</v>
      </c>
      <c r="R3" s="30" t="n">
        <v>1284</v>
      </c>
      <c r="S3" s="30" t="n">
        <v>130</v>
      </c>
      <c r="T3" s="30" t="n">
        <v>112.5</v>
      </c>
    </row>
    <row r="4" customFormat="false" ht="15" hidden="false" customHeight="false" outlineLevel="0" collapsed="false">
      <c r="A4" s="18" t="n">
        <v>3</v>
      </c>
      <c r="B4" s="18" t="n">
        <v>0.7</v>
      </c>
      <c r="C4" s="18" t="n">
        <v>-1.75</v>
      </c>
      <c r="D4" s="18" t="n">
        <v>0</v>
      </c>
      <c r="E4" s="18" t="n">
        <v>0.7</v>
      </c>
      <c r="F4" s="18" t="n">
        <v>0.6</v>
      </c>
      <c r="G4" s="18" t="n">
        <v>6</v>
      </c>
      <c r="H4" s="18" t="n">
        <v>2</v>
      </c>
      <c r="I4" s="19" t="n">
        <v>0.9852</v>
      </c>
      <c r="J4" s="19" t="n">
        <v>0.9852</v>
      </c>
      <c r="K4" s="19" t="n">
        <v>0.00707106781186548</v>
      </c>
      <c r="L4" s="19" t="n">
        <v>0.9902</v>
      </c>
      <c r="M4" s="19" t="n">
        <v>0.9802</v>
      </c>
      <c r="N4" s="28" t="n">
        <v>5.15</v>
      </c>
      <c r="O4" s="28" t="n">
        <v>10.9</v>
      </c>
      <c r="P4" s="29" t="n">
        <v>9.005</v>
      </c>
      <c r="Q4" s="30" t="n">
        <v>226.5</v>
      </c>
      <c r="R4" s="30" t="n">
        <v>1250</v>
      </c>
      <c r="S4" s="30" t="n">
        <v>146.5</v>
      </c>
      <c r="T4" s="30" t="n">
        <v>114.9</v>
      </c>
    </row>
    <row r="5" customFormat="false" ht="15" hidden="false" customHeight="false" outlineLevel="0" collapsed="false">
      <c r="A5" s="18" t="n">
        <v>4</v>
      </c>
      <c r="B5" s="18" t="n">
        <v>0.7</v>
      </c>
      <c r="C5" s="18" t="n">
        <v>-1.75</v>
      </c>
      <c r="D5" s="18" t="n">
        <v>0</v>
      </c>
      <c r="E5" s="18" t="n">
        <v>0.8</v>
      </c>
      <c r="F5" s="18" t="n">
        <v>0.7</v>
      </c>
      <c r="G5" s="18" t="n">
        <v>3</v>
      </c>
      <c r="H5" s="18" t="n">
        <v>1</v>
      </c>
      <c r="I5" s="19" t="n">
        <v>0.985</v>
      </c>
      <c r="J5" s="19" t="n">
        <v>0.985</v>
      </c>
      <c r="K5" s="18"/>
      <c r="L5" s="19" t="n">
        <v>0.985</v>
      </c>
      <c r="M5" s="19" t="n">
        <v>0.985</v>
      </c>
      <c r="N5" s="28" t="n">
        <v>5.7</v>
      </c>
      <c r="O5" s="28" t="n">
        <v>8.8</v>
      </c>
      <c r="P5" s="29" t="n">
        <v>8.53</v>
      </c>
      <c r="Q5" s="30" t="n">
        <v>225</v>
      </c>
      <c r="R5" s="30" t="n">
        <v>1221</v>
      </c>
      <c r="S5" s="30" t="n">
        <v>170</v>
      </c>
      <c r="T5" s="30" t="n">
        <v>102.8</v>
      </c>
    </row>
    <row r="6" customFormat="false" ht="15" hidden="false" customHeight="false" outlineLevel="0" collapsed="false">
      <c r="A6" s="18" t="n">
        <v>5</v>
      </c>
      <c r="B6" s="18" t="n">
        <v>0.75</v>
      </c>
      <c r="C6" s="18" t="n">
        <v>-1.5</v>
      </c>
      <c r="D6" s="18" t="n">
        <v>0</v>
      </c>
      <c r="E6" s="18" t="n">
        <v>0.8</v>
      </c>
      <c r="F6" s="18" t="n">
        <v>0.6</v>
      </c>
      <c r="G6" s="18" t="n">
        <v>3</v>
      </c>
      <c r="H6" s="18" t="n">
        <v>1</v>
      </c>
      <c r="I6" s="19" t="n">
        <v>0.9844</v>
      </c>
      <c r="J6" s="19" t="n">
        <v>0.9844</v>
      </c>
      <c r="K6" s="18"/>
      <c r="L6" s="19" t="n">
        <v>0.9844</v>
      </c>
      <c r="M6" s="19" t="n">
        <v>0.9844</v>
      </c>
      <c r="N6" s="28" t="n">
        <v>6.2</v>
      </c>
      <c r="O6" s="28" t="n">
        <v>9.4</v>
      </c>
      <c r="P6" s="29" t="n">
        <v>8.4</v>
      </c>
      <c r="Q6" s="30" t="n">
        <v>210</v>
      </c>
      <c r="R6" s="30" t="n">
        <v>1710</v>
      </c>
      <c r="S6" s="30" t="n">
        <v>142</v>
      </c>
      <c r="T6" s="30" t="n">
        <v>160</v>
      </c>
    </row>
    <row r="7" customFormat="false" ht="15" hidden="false" customHeight="false" outlineLevel="0" collapsed="false">
      <c r="A7" s="18" t="n">
        <v>6</v>
      </c>
      <c r="B7" s="18" t="n">
        <v>0.7</v>
      </c>
      <c r="C7" s="18" t="n">
        <v>-1.5</v>
      </c>
      <c r="D7" s="18" t="n">
        <v>0</v>
      </c>
      <c r="E7" s="18" t="n">
        <v>0.7</v>
      </c>
      <c r="F7" s="18" t="n">
        <v>0.7</v>
      </c>
      <c r="G7" s="18" t="n">
        <v>3</v>
      </c>
      <c r="H7" s="18" t="n">
        <v>1</v>
      </c>
      <c r="I7" s="19" t="n">
        <v>0.9841</v>
      </c>
      <c r="J7" s="19" t="n">
        <v>0.9841</v>
      </c>
      <c r="K7" s="18"/>
      <c r="L7" s="19" t="n">
        <v>0.9841</v>
      </c>
      <c r="M7" s="19" t="n">
        <v>0.9841</v>
      </c>
      <c r="N7" s="28" t="n">
        <v>5.3</v>
      </c>
      <c r="O7" s="28" t="n">
        <v>8.4</v>
      </c>
      <c r="P7" s="29" t="n">
        <v>8.19</v>
      </c>
      <c r="Q7" s="30" t="n">
        <v>205</v>
      </c>
      <c r="R7" s="30" t="n">
        <v>1750</v>
      </c>
      <c r="S7" s="30" t="n">
        <v>120</v>
      </c>
      <c r="T7" s="30" t="n">
        <v>109.7</v>
      </c>
    </row>
    <row r="8" customFormat="false" ht="15" hidden="false" customHeight="false" outlineLevel="0" collapsed="false">
      <c r="A8" s="18" t="n">
        <v>7</v>
      </c>
      <c r="B8" s="18" t="n">
        <v>0.7</v>
      </c>
      <c r="C8" s="18" t="n">
        <v>-1.25</v>
      </c>
      <c r="D8" s="18" t="n">
        <v>0</v>
      </c>
      <c r="E8" s="18" t="n">
        <v>0.8</v>
      </c>
      <c r="F8" s="18" t="n">
        <v>0.7</v>
      </c>
      <c r="G8" s="18" t="n">
        <v>3</v>
      </c>
      <c r="H8" s="18" t="n">
        <v>1</v>
      </c>
      <c r="I8" s="19" t="n">
        <v>0.9831</v>
      </c>
      <c r="J8" s="19" t="n">
        <v>0.9831</v>
      </c>
      <c r="K8" s="18"/>
      <c r="L8" s="19" t="n">
        <v>0.9831</v>
      </c>
      <c r="M8" s="19" t="n">
        <v>0.9831</v>
      </c>
      <c r="N8" s="28" t="n">
        <v>5.3</v>
      </c>
      <c r="O8" s="28" t="n">
        <v>8</v>
      </c>
      <c r="P8" s="29" t="n">
        <v>7.42</v>
      </c>
      <c r="Q8" s="30" t="n">
        <v>184</v>
      </c>
      <c r="R8" s="30" t="n">
        <v>2094</v>
      </c>
      <c r="S8" s="30" t="n">
        <v>147</v>
      </c>
      <c r="T8" s="30" t="n">
        <v>142.9</v>
      </c>
    </row>
    <row r="9" customFormat="false" ht="15" hidden="false" customHeight="false" outlineLevel="0" collapsed="false">
      <c r="A9" s="18" t="n">
        <v>8</v>
      </c>
      <c r="B9" s="18" t="n">
        <v>0.75</v>
      </c>
      <c r="C9" s="18" t="n">
        <v>-1.5</v>
      </c>
      <c r="D9" s="18" t="n">
        <v>0</v>
      </c>
      <c r="E9" s="18" t="n">
        <v>0.7</v>
      </c>
      <c r="F9" s="18" t="n">
        <v>0.6</v>
      </c>
      <c r="G9" s="18" t="n">
        <v>3</v>
      </c>
      <c r="H9" s="18" t="n">
        <v>1</v>
      </c>
      <c r="I9" s="19" t="n">
        <v>0.9831</v>
      </c>
      <c r="J9" s="19" t="n">
        <v>0.9831</v>
      </c>
      <c r="K9" s="18"/>
      <c r="L9" s="19" t="n">
        <v>0.9831</v>
      </c>
      <c r="M9" s="19" t="n">
        <v>0.9831</v>
      </c>
      <c r="N9" s="28" t="n">
        <v>6.5</v>
      </c>
      <c r="O9" s="28" t="n">
        <v>7.7</v>
      </c>
      <c r="P9" s="29" t="n">
        <v>7.93</v>
      </c>
      <c r="Q9" s="30" t="n">
        <v>208</v>
      </c>
      <c r="R9" s="30" t="n">
        <v>1756</v>
      </c>
      <c r="S9" s="30" t="n">
        <v>121</v>
      </c>
      <c r="T9" s="30" t="n">
        <v>111.1</v>
      </c>
    </row>
    <row r="10" customFormat="false" ht="15" hidden="false" customHeight="false" outlineLevel="0" collapsed="false">
      <c r="A10" s="18" t="n">
        <v>9</v>
      </c>
      <c r="B10" s="18" t="n">
        <v>0.7</v>
      </c>
      <c r="C10" s="18" t="n">
        <v>-1.5</v>
      </c>
      <c r="D10" s="18" t="n">
        <v>0</v>
      </c>
      <c r="E10" s="18" t="n">
        <v>0.8</v>
      </c>
      <c r="F10" s="18" t="n">
        <v>0.6</v>
      </c>
      <c r="G10" s="18" t="n">
        <v>3</v>
      </c>
      <c r="H10" s="18" t="n">
        <v>3</v>
      </c>
      <c r="I10" s="19" t="n">
        <v>0.9819</v>
      </c>
      <c r="J10" s="19" t="n">
        <v>0.9829</v>
      </c>
      <c r="K10" s="19" t="n">
        <v>0.00181934053986599</v>
      </c>
      <c r="L10" s="19" t="n">
        <v>0.985</v>
      </c>
      <c r="M10" s="19" t="n">
        <v>0.9818</v>
      </c>
      <c r="N10" s="28" t="n">
        <v>5.4</v>
      </c>
      <c r="O10" s="28" t="n">
        <v>8.7</v>
      </c>
      <c r="P10" s="29" t="n">
        <v>7.95</v>
      </c>
      <c r="Q10" s="30" t="n">
        <v>213</v>
      </c>
      <c r="R10" s="30" t="n">
        <v>1714</v>
      </c>
      <c r="S10" s="30" t="n">
        <v>155</v>
      </c>
      <c r="T10" s="30" t="n">
        <v>144.6</v>
      </c>
    </row>
    <row r="11" customFormat="false" ht="15" hidden="false" customHeight="false" outlineLevel="0" collapsed="false">
      <c r="A11" s="18" t="n">
        <v>10</v>
      </c>
      <c r="B11" s="18" t="n">
        <v>0.7</v>
      </c>
      <c r="C11" s="18" t="n">
        <v>-2</v>
      </c>
      <c r="D11" s="18" t="n">
        <v>0</v>
      </c>
      <c r="E11" s="18" t="n">
        <v>0.7</v>
      </c>
      <c r="F11" s="18" t="n">
        <v>0.7</v>
      </c>
      <c r="G11" s="18" t="n">
        <v>3</v>
      </c>
      <c r="H11" s="18" t="n">
        <v>2</v>
      </c>
      <c r="I11" s="19" t="n">
        <v>0.9814</v>
      </c>
      <c r="J11" s="19" t="n">
        <v>0.9814</v>
      </c>
      <c r="K11" s="19" t="n">
        <v>0.000707106781186509</v>
      </c>
      <c r="L11" s="19" t="n">
        <v>0.9819</v>
      </c>
      <c r="M11" s="19" t="n">
        <v>0.9809</v>
      </c>
      <c r="N11" s="28" t="n">
        <v>6.3</v>
      </c>
      <c r="O11" s="28" t="n">
        <v>9.9</v>
      </c>
      <c r="P11" s="29" t="n">
        <v>7.575</v>
      </c>
      <c r="Q11" s="30" t="n">
        <v>238.5</v>
      </c>
      <c r="R11" s="30" t="n">
        <v>651</v>
      </c>
      <c r="S11" s="30" t="n">
        <v>146.5</v>
      </c>
      <c r="T11" s="30" t="n">
        <v>183.9</v>
      </c>
    </row>
    <row r="12" customFormat="false" ht="15" hidden="false" customHeight="false" outlineLevel="0" collapsed="false">
      <c r="A12" s="18" t="n">
        <v>11</v>
      </c>
      <c r="B12" s="18" t="n">
        <v>0.75</v>
      </c>
      <c r="C12" s="18" t="n">
        <v>-1.25</v>
      </c>
      <c r="D12" s="18" t="n">
        <v>0</v>
      </c>
      <c r="E12" s="18" t="n">
        <v>0.7</v>
      </c>
      <c r="F12" s="18" t="n">
        <v>0.7</v>
      </c>
      <c r="G12" s="18" t="n">
        <v>3</v>
      </c>
      <c r="H12" s="18" t="n">
        <v>2</v>
      </c>
      <c r="I12" s="19" t="n">
        <v>0.98135</v>
      </c>
      <c r="J12" s="19" t="n">
        <v>0.98135</v>
      </c>
      <c r="K12" s="19" t="n">
        <v>0.00445477272147527</v>
      </c>
      <c r="L12" s="19" t="n">
        <v>0.9845</v>
      </c>
      <c r="M12" s="19" t="n">
        <v>0.9782</v>
      </c>
      <c r="N12" s="28" t="n">
        <v>5.8</v>
      </c>
      <c r="O12" s="28" t="n">
        <v>7.25</v>
      </c>
      <c r="P12" s="29" t="n">
        <v>7.5</v>
      </c>
      <c r="Q12" s="30" t="n">
        <v>187</v>
      </c>
      <c r="R12" s="30" t="n">
        <v>2110</v>
      </c>
      <c r="S12" s="30" t="n">
        <v>104</v>
      </c>
      <c r="T12" s="30" t="n">
        <v>139.65</v>
      </c>
    </row>
    <row r="13" customFormat="false" ht="15" hidden="false" customHeight="false" outlineLevel="0" collapsed="false">
      <c r="A13" s="18" t="n">
        <v>12</v>
      </c>
      <c r="B13" s="18" t="n">
        <v>0.7</v>
      </c>
      <c r="C13" s="18" t="n">
        <v>-2</v>
      </c>
      <c r="D13" s="18" t="n">
        <v>0</v>
      </c>
      <c r="E13" s="18" t="n">
        <v>0.7</v>
      </c>
      <c r="F13" s="18" t="n">
        <v>0.6</v>
      </c>
      <c r="G13" s="18" t="n">
        <v>3</v>
      </c>
      <c r="H13" s="18" t="n">
        <v>7</v>
      </c>
      <c r="I13" s="19" t="n">
        <v>0.9812</v>
      </c>
      <c r="J13" s="19" t="n">
        <v>0.9708</v>
      </c>
      <c r="K13" s="19" t="n">
        <v>0.0180614691170643</v>
      </c>
      <c r="L13" s="19" t="n">
        <v>0.9856</v>
      </c>
      <c r="M13" s="19" t="n">
        <v>0.9361</v>
      </c>
      <c r="N13" s="28" t="n">
        <v>7.1</v>
      </c>
      <c r="O13" s="28" t="n">
        <v>10.8</v>
      </c>
      <c r="P13" s="29" t="n">
        <v>7.23</v>
      </c>
      <c r="Q13" s="30" t="n">
        <v>235</v>
      </c>
      <c r="R13" s="30" t="n">
        <v>666</v>
      </c>
      <c r="S13" s="30" t="n">
        <v>139</v>
      </c>
      <c r="T13" s="30" t="n">
        <v>146.4</v>
      </c>
    </row>
    <row r="14" customFormat="false" ht="15" hidden="false" customHeight="false" outlineLevel="0" collapsed="false">
      <c r="A14" s="18" t="n">
        <v>13</v>
      </c>
      <c r="B14" s="18" t="n">
        <v>0.6</v>
      </c>
      <c r="C14" s="18" t="n">
        <v>-1.25</v>
      </c>
      <c r="D14" s="18" t="n">
        <v>0</v>
      </c>
      <c r="E14" s="18" t="n">
        <v>0.8</v>
      </c>
      <c r="F14" s="18" t="n">
        <v>0.6</v>
      </c>
      <c r="G14" s="18" t="n">
        <v>3</v>
      </c>
      <c r="H14" s="18" t="n">
        <v>1</v>
      </c>
      <c r="I14" s="19" t="n">
        <v>0.9808</v>
      </c>
      <c r="J14" s="19" t="n">
        <v>0.9808</v>
      </c>
      <c r="K14" s="18"/>
      <c r="L14" s="19" t="n">
        <v>0.9808</v>
      </c>
      <c r="M14" s="19" t="n">
        <v>0.9808</v>
      </c>
      <c r="N14" s="28" t="n">
        <v>3.9</v>
      </c>
      <c r="O14" s="28" t="n">
        <v>7.9</v>
      </c>
      <c r="P14" s="29" t="n">
        <v>7.46</v>
      </c>
      <c r="Q14" s="30" t="n">
        <v>187</v>
      </c>
      <c r="R14" s="30" t="n">
        <v>2086</v>
      </c>
      <c r="S14" s="30" t="n">
        <v>151</v>
      </c>
      <c r="T14" s="30" t="n">
        <v>120</v>
      </c>
    </row>
    <row r="15" customFormat="false" ht="15" hidden="false" customHeight="false" outlineLevel="0" collapsed="false">
      <c r="A15" s="18" t="n">
        <v>14</v>
      </c>
      <c r="B15" s="18" t="n">
        <v>0.7</v>
      </c>
      <c r="C15" s="18" t="n">
        <v>-1.75</v>
      </c>
      <c r="D15" s="18" t="n">
        <v>0</v>
      </c>
      <c r="E15" s="18" t="n">
        <v>0.7</v>
      </c>
      <c r="F15" s="18" t="n">
        <v>0.7</v>
      </c>
      <c r="G15" s="18" t="n">
        <v>3</v>
      </c>
      <c r="H15" s="18" t="n">
        <v>5</v>
      </c>
      <c r="I15" s="19" t="n">
        <v>0.9807</v>
      </c>
      <c r="J15" s="19" t="n">
        <v>0.97856</v>
      </c>
      <c r="K15" s="19" t="n">
        <v>0.00460358555910505</v>
      </c>
      <c r="L15" s="19" t="n">
        <v>0.9834</v>
      </c>
      <c r="M15" s="19" t="n">
        <v>0.9718</v>
      </c>
      <c r="N15" s="28" t="n">
        <v>6.3</v>
      </c>
      <c r="O15" s="28" t="n">
        <v>9.3</v>
      </c>
      <c r="P15" s="29" t="n">
        <v>7.41</v>
      </c>
      <c r="Q15" s="30" t="n">
        <v>224</v>
      </c>
      <c r="R15" s="30" t="n">
        <v>1265</v>
      </c>
      <c r="S15" s="30" t="n">
        <v>141</v>
      </c>
      <c r="T15" s="30" t="n">
        <v>96.1</v>
      </c>
    </row>
    <row r="16" customFormat="false" ht="15" hidden="false" customHeight="false" outlineLevel="0" collapsed="false">
      <c r="A16" s="18" t="n">
        <v>15</v>
      </c>
      <c r="B16" s="18" t="n">
        <v>0.7</v>
      </c>
      <c r="C16" s="18" t="n">
        <v>-2</v>
      </c>
      <c r="D16" s="18" t="n">
        <v>0</v>
      </c>
      <c r="E16" s="18" t="n">
        <v>0.8</v>
      </c>
      <c r="F16" s="18" t="n">
        <v>0.6</v>
      </c>
      <c r="G16" s="18" t="n">
        <v>3</v>
      </c>
      <c r="H16" s="18" t="n">
        <v>1</v>
      </c>
      <c r="I16" s="19" t="n">
        <v>0.9805</v>
      </c>
      <c r="J16" s="19" t="n">
        <v>0.9805</v>
      </c>
      <c r="K16" s="18"/>
      <c r="L16" s="19" t="n">
        <v>0.9805</v>
      </c>
      <c r="M16" s="19" t="n">
        <v>0.9805</v>
      </c>
      <c r="N16" s="28" t="n">
        <v>6.9</v>
      </c>
      <c r="O16" s="28" t="n">
        <v>10.2</v>
      </c>
      <c r="P16" s="29" t="n">
        <v>7.5</v>
      </c>
      <c r="Q16" s="30" t="n">
        <v>238</v>
      </c>
      <c r="R16" s="30" t="n">
        <v>651</v>
      </c>
      <c r="S16" s="30" t="n">
        <v>161</v>
      </c>
      <c r="T16" s="30" t="n">
        <v>138.3</v>
      </c>
    </row>
    <row r="17" customFormat="false" ht="15" hidden="false" customHeight="false" outlineLevel="0" collapsed="false">
      <c r="A17" s="18" t="n">
        <v>16</v>
      </c>
      <c r="B17" s="18" t="n">
        <v>0.7</v>
      </c>
      <c r="C17" s="18" t="n">
        <v>-1.75</v>
      </c>
      <c r="D17" s="18" t="n">
        <v>0</v>
      </c>
      <c r="E17" s="18" t="n">
        <v>0.7</v>
      </c>
      <c r="F17" s="18" t="n">
        <v>0.6</v>
      </c>
      <c r="G17" s="18" t="n">
        <v>3</v>
      </c>
      <c r="H17" s="18" t="n">
        <v>13</v>
      </c>
      <c r="I17" s="19" t="n">
        <v>0.9804</v>
      </c>
      <c r="J17" s="19" t="n">
        <v>0.981030769230769</v>
      </c>
      <c r="K17" s="19" t="n">
        <v>0.00547332693088101</v>
      </c>
      <c r="L17" s="19" t="n">
        <v>0.9902</v>
      </c>
      <c r="M17" s="19" t="n">
        <v>0.9722</v>
      </c>
      <c r="N17" s="28" t="n">
        <v>6.6</v>
      </c>
      <c r="O17" s="28" t="n">
        <v>9.1</v>
      </c>
      <c r="P17" s="29" t="n">
        <v>7.35</v>
      </c>
      <c r="Q17" s="30" t="n">
        <v>226</v>
      </c>
      <c r="R17" s="30" t="n">
        <v>1255</v>
      </c>
      <c r="S17" s="30" t="n">
        <v>142</v>
      </c>
      <c r="T17" s="30" t="n">
        <v>112.9</v>
      </c>
    </row>
    <row r="18" customFormat="false" ht="15" hidden="false" customHeight="false" outlineLevel="0" collapsed="false">
      <c r="A18" s="18" t="n">
        <v>17</v>
      </c>
      <c r="B18" s="18" t="n">
        <v>0.75</v>
      </c>
      <c r="C18" s="18" t="n">
        <v>-1.75</v>
      </c>
      <c r="D18" s="18" t="n">
        <v>0</v>
      </c>
      <c r="E18" s="18" t="n">
        <v>0.8</v>
      </c>
      <c r="F18" s="18" t="n">
        <v>0.6</v>
      </c>
      <c r="G18" s="18" t="n">
        <v>3</v>
      </c>
      <c r="H18" s="18" t="n">
        <v>1</v>
      </c>
      <c r="I18" s="19" t="n">
        <v>0.9803</v>
      </c>
      <c r="J18" s="19" t="n">
        <v>0.9803</v>
      </c>
      <c r="K18" s="18"/>
      <c r="L18" s="19" t="n">
        <v>0.9803</v>
      </c>
      <c r="M18" s="19" t="n">
        <v>0.9803</v>
      </c>
      <c r="N18" s="28" t="n">
        <v>7.9</v>
      </c>
      <c r="O18" s="28" t="n">
        <v>9.7</v>
      </c>
      <c r="P18" s="29" t="n">
        <v>7.35</v>
      </c>
      <c r="Q18" s="30" t="n">
        <v>230</v>
      </c>
      <c r="R18" s="30" t="n">
        <v>1236</v>
      </c>
      <c r="S18" s="30" t="n">
        <v>174</v>
      </c>
      <c r="T18" s="30" t="n">
        <v>163.6</v>
      </c>
    </row>
    <row r="19" customFormat="false" ht="15" hidden="false" customHeight="false" outlineLevel="0" collapsed="false">
      <c r="A19" s="18" t="n">
        <v>18</v>
      </c>
      <c r="B19" s="18" t="n">
        <v>0.75</v>
      </c>
      <c r="C19" s="18" t="n">
        <v>-1.75</v>
      </c>
      <c r="D19" s="18" t="n">
        <v>0</v>
      </c>
      <c r="E19" s="18" t="n">
        <v>0.7</v>
      </c>
      <c r="F19" s="18" t="n">
        <v>0.6</v>
      </c>
      <c r="G19" s="18" t="n">
        <v>3</v>
      </c>
      <c r="H19" s="18" t="n">
        <v>3</v>
      </c>
      <c r="I19" s="19" t="n">
        <v>0.9792</v>
      </c>
      <c r="J19" s="19" t="n">
        <v>0.978766666666667</v>
      </c>
      <c r="K19" s="19" t="n">
        <v>0.00915769257691768</v>
      </c>
      <c r="L19" s="19" t="n">
        <v>0.9877</v>
      </c>
      <c r="M19" s="19" t="n">
        <v>0.9694</v>
      </c>
      <c r="N19" s="28" t="n">
        <v>8</v>
      </c>
      <c r="O19" s="28" t="n">
        <v>8.7</v>
      </c>
      <c r="P19" s="29" t="n">
        <v>7</v>
      </c>
      <c r="Q19" s="30" t="n">
        <v>224</v>
      </c>
      <c r="R19" s="30" t="n">
        <v>1240</v>
      </c>
      <c r="S19" s="30" t="n">
        <v>146</v>
      </c>
      <c r="T19" s="30" t="n">
        <v>112</v>
      </c>
    </row>
    <row r="20" customFormat="false" ht="15" hidden="false" customHeight="false" outlineLevel="0" collapsed="false">
      <c r="A20" s="18" t="n">
        <v>19</v>
      </c>
      <c r="B20" s="18" t="n">
        <v>0.7</v>
      </c>
      <c r="C20" s="18" t="n">
        <v>-1.5</v>
      </c>
      <c r="D20" s="18" t="n">
        <v>0</v>
      </c>
      <c r="E20" s="18" t="n">
        <v>0.7</v>
      </c>
      <c r="F20" s="18" t="n">
        <v>0.6</v>
      </c>
      <c r="G20" s="18" t="n">
        <v>3</v>
      </c>
      <c r="H20" s="18" t="n">
        <v>8</v>
      </c>
      <c r="I20" s="19" t="n">
        <v>0.97855</v>
      </c>
      <c r="J20" s="19" t="n">
        <v>0.9768</v>
      </c>
      <c r="K20" s="19" t="n">
        <v>0.0116193188883244</v>
      </c>
      <c r="L20" s="19" t="n">
        <v>0.9891</v>
      </c>
      <c r="M20" s="19" t="n">
        <v>0.9501</v>
      </c>
      <c r="N20" s="28" t="n">
        <v>6.15</v>
      </c>
      <c r="O20" s="28" t="n">
        <v>8.15</v>
      </c>
      <c r="P20" s="29" t="n">
        <v>6.915</v>
      </c>
      <c r="Q20" s="30" t="n">
        <v>205</v>
      </c>
      <c r="R20" s="30" t="n">
        <v>1735</v>
      </c>
      <c r="S20" s="30" t="n">
        <v>122</v>
      </c>
      <c r="T20" s="30" t="n">
        <v>120.45</v>
      </c>
    </row>
    <row r="21" customFormat="false" ht="15" hidden="false" customHeight="false" outlineLevel="0" collapsed="false">
      <c r="A21" s="18" t="n">
        <v>20</v>
      </c>
      <c r="B21" s="18" t="n">
        <v>0.7</v>
      </c>
      <c r="C21" s="18" t="n">
        <v>-1.75</v>
      </c>
      <c r="D21" s="18" t="n">
        <v>0</v>
      </c>
      <c r="E21" s="18" t="n">
        <v>0.8</v>
      </c>
      <c r="F21" s="18" t="n">
        <v>0.6</v>
      </c>
      <c r="G21" s="18" t="n">
        <v>3</v>
      </c>
      <c r="H21" s="18" t="n">
        <v>3</v>
      </c>
      <c r="I21" s="19" t="n">
        <v>0.9775</v>
      </c>
      <c r="J21" s="19" t="n">
        <v>0.977566666666667</v>
      </c>
      <c r="K21" s="19" t="n">
        <v>0.00240069434400411</v>
      </c>
      <c r="L21" s="19" t="n">
        <v>0.98</v>
      </c>
      <c r="M21" s="19" t="n">
        <v>0.9752</v>
      </c>
      <c r="N21" s="28" t="n">
        <v>7.1</v>
      </c>
      <c r="O21" s="28" t="n">
        <v>9.8</v>
      </c>
      <c r="P21" s="29" t="n">
        <v>6.81</v>
      </c>
      <c r="Q21" s="30" t="n">
        <v>226</v>
      </c>
      <c r="R21" s="30" t="n">
        <v>1216</v>
      </c>
      <c r="S21" s="30" t="n">
        <v>164</v>
      </c>
      <c r="T21" s="30" t="n">
        <v>162.3</v>
      </c>
    </row>
    <row r="22" customFormat="false" ht="15" hidden="false" customHeight="false" outlineLevel="0" collapsed="false">
      <c r="A22" s="18" t="n">
        <v>21</v>
      </c>
      <c r="B22" s="18" t="n">
        <v>0.7</v>
      </c>
      <c r="C22" s="18" t="n">
        <v>-1.25</v>
      </c>
      <c r="D22" s="18" t="n">
        <v>0</v>
      </c>
      <c r="E22" s="18" t="n">
        <v>0.7</v>
      </c>
      <c r="F22" s="18" t="n">
        <v>0.7</v>
      </c>
      <c r="G22" s="18" t="n">
        <v>3</v>
      </c>
      <c r="H22" s="18" t="n">
        <v>5</v>
      </c>
      <c r="I22" s="19" t="n">
        <v>0.9768</v>
      </c>
      <c r="J22" s="19" t="n">
        <v>0.97414</v>
      </c>
      <c r="K22" s="19" t="n">
        <v>0.00806461406392144</v>
      </c>
      <c r="L22" s="19" t="n">
        <v>0.9796</v>
      </c>
      <c r="M22" s="19" t="n">
        <v>0.9602</v>
      </c>
      <c r="N22" s="28" t="n">
        <v>6</v>
      </c>
      <c r="O22" s="28" t="n">
        <v>7.9</v>
      </c>
      <c r="P22" s="29" t="n">
        <v>6.73</v>
      </c>
      <c r="Q22" s="30" t="n">
        <v>184</v>
      </c>
      <c r="R22" s="30" t="n">
        <v>2107</v>
      </c>
      <c r="S22" s="30" t="n">
        <v>101</v>
      </c>
      <c r="T22" s="30" t="n">
        <v>134.2</v>
      </c>
    </row>
    <row r="23" customFormat="false" ht="15" hidden="false" customHeight="false" outlineLevel="0" collapsed="false">
      <c r="A23" s="18" t="n">
        <v>22</v>
      </c>
      <c r="B23" s="18" t="n">
        <v>0.6</v>
      </c>
      <c r="C23" s="18" t="n">
        <v>-1.5</v>
      </c>
      <c r="D23" s="18" t="n">
        <v>0</v>
      </c>
      <c r="E23" s="18" t="n">
        <v>0.7</v>
      </c>
      <c r="F23" s="18" t="n">
        <v>0.6</v>
      </c>
      <c r="G23" s="18" t="n">
        <v>3</v>
      </c>
      <c r="H23" s="18" t="n">
        <v>1</v>
      </c>
      <c r="I23" s="19" t="n">
        <v>0.9768</v>
      </c>
      <c r="J23" s="19" t="n">
        <v>0.9768</v>
      </c>
      <c r="K23" s="18"/>
      <c r="L23" s="19" t="n">
        <v>0.9768</v>
      </c>
      <c r="M23" s="19" t="n">
        <v>0.9768</v>
      </c>
      <c r="N23" s="28" t="n">
        <v>5.1</v>
      </c>
      <c r="O23" s="28" t="n">
        <v>7.9</v>
      </c>
      <c r="P23" s="29" t="n">
        <v>6.69</v>
      </c>
      <c r="Q23" s="30" t="n">
        <v>211</v>
      </c>
      <c r="R23" s="30" t="n">
        <v>1778</v>
      </c>
      <c r="S23" s="30" t="n">
        <v>103</v>
      </c>
      <c r="T23" s="30" t="n">
        <v>146.8</v>
      </c>
    </row>
    <row r="24" customFormat="false" ht="15" hidden="false" customHeight="false" outlineLevel="0" collapsed="false">
      <c r="A24" s="18" t="n">
        <v>23</v>
      </c>
      <c r="B24" s="18" t="n">
        <v>0.7</v>
      </c>
      <c r="C24" s="18" t="n">
        <v>-1.25</v>
      </c>
      <c r="D24" s="18" t="n">
        <v>0</v>
      </c>
      <c r="E24" s="18" t="n">
        <v>0.7</v>
      </c>
      <c r="F24" s="18" t="n">
        <v>0.6</v>
      </c>
      <c r="G24" s="18" t="n">
        <v>3</v>
      </c>
      <c r="H24" s="18" t="n">
        <v>14</v>
      </c>
      <c r="I24" s="19" t="n">
        <v>0.97515</v>
      </c>
      <c r="J24" s="19" t="n">
        <v>0.974271428571429</v>
      </c>
      <c r="K24" s="19" t="n">
        <v>0.0100732264002101</v>
      </c>
      <c r="L24" s="19" t="n">
        <v>0.9873</v>
      </c>
      <c r="M24" s="19" t="n">
        <v>0.9445</v>
      </c>
      <c r="N24" s="28" t="n">
        <v>5.7</v>
      </c>
      <c r="O24" s="28" t="n">
        <v>7.55</v>
      </c>
      <c r="P24" s="29" t="n">
        <v>6.705</v>
      </c>
      <c r="Q24" s="30" t="n">
        <v>186</v>
      </c>
      <c r="R24" s="30" t="n">
        <v>2081</v>
      </c>
      <c r="S24" s="30" t="n">
        <v>117.5</v>
      </c>
      <c r="T24" s="30" t="n">
        <v>122.05</v>
      </c>
    </row>
    <row r="25" customFormat="false" ht="15" hidden="false" customHeight="false" outlineLevel="0" collapsed="false">
      <c r="A25" s="18" t="n">
        <v>24</v>
      </c>
      <c r="B25" s="18" t="n">
        <v>0.7</v>
      </c>
      <c r="C25" s="18" t="n">
        <v>-1.25</v>
      </c>
      <c r="D25" s="18" t="n">
        <v>0</v>
      </c>
      <c r="E25" s="18" t="n">
        <v>0.6</v>
      </c>
      <c r="F25" s="18" t="n">
        <v>0.6</v>
      </c>
      <c r="G25" s="18" t="n">
        <v>3</v>
      </c>
      <c r="H25" s="18" t="n">
        <v>1</v>
      </c>
      <c r="I25" s="19" t="n">
        <v>0.9726</v>
      </c>
      <c r="J25" s="19" t="n">
        <v>0.9726</v>
      </c>
      <c r="K25" s="18"/>
      <c r="L25" s="19" t="n">
        <v>0.9726</v>
      </c>
      <c r="M25" s="19" t="n">
        <v>0.9726</v>
      </c>
      <c r="N25" s="28" t="n">
        <v>6.9</v>
      </c>
      <c r="O25" s="28" t="n">
        <v>6.6</v>
      </c>
      <c r="P25" s="29" t="n">
        <v>5.82</v>
      </c>
      <c r="Q25" s="30" t="n">
        <v>185</v>
      </c>
      <c r="R25" s="30" t="n">
        <v>2149</v>
      </c>
      <c r="S25" s="30" t="n">
        <v>83</v>
      </c>
      <c r="T25" s="30" t="n">
        <v>85.7</v>
      </c>
    </row>
    <row r="26" customFormat="false" ht="15" hidden="false" customHeight="false" outlineLevel="0" collapsed="false">
      <c r="A26" s="18" t="n">
        <v>25</v>
      </c>
      <c r="B26" s="18" t="n">
        <v>0.75</v>
      </c>
      <c r="C26" s="18" t="n">
        <v>-1.25</v>
      </c>
      <c r="D26" s="18" t="n">
        <v>0</v>
      </c>
      <c r="E26" s="18" t="n">
        <v>0.8</v>
      </c>
      <c r="F26" s="18" t="n">
        <v>0.6</v>
      </c>
      <c r="G26" s="18" t="n">
        <v>3</v>
      </c>
      <c r="H26" s="18" t="n">
        <v>4</v>
      </c>
      <c r="I26" s="19" t="n">
        <v>0.97085</v>
      </c>
      <c r="J26" s="19" t="n">
        <v>0.9676</v>
      </c>
      <c r="K26" s="19" t="n">
        <v>0.0190918830920368</v>
      </c>
      <c r="L26" s="19" t="n">
        <v>0.9846</v>
      </c>
      <c r="M26" s="19" t="n">
        <v>0.9441</v>
      </c>
      <c r="N26" s="28" t="n">
        <v>7</v>
      </c>
      <c r="O26" s="28" t="n">
        <v>8.9</v>
      </c>
      <c r="P26" s="29" t="n">
        <v>6.495</v>
      </c>
      <c r="Q26" s="30" t="n">
        <v>191.5</v>
      </c>
      <c r="R26" s="30" t="n">
        <v>2044</v>
      </c>
      <c r="S26" s="30" t="n">
        <v>151.5</v>
      </c>
      <c r="T26" s="30" t="n">
        <v>101.3</v>
      </c>
    </row>
    <row r="27" customFormat="false" ht="15" hidden="false" customHeight="false" outlineLevel="0" collapsed="false">
      <c r="A27" s="18" t="n">
        <v>26</v>
      </c>
      <c r="B27" s="18" t="n">
        <v>0.6</v>
      </c>
      <c r="C27" s="18" t="n">
        <v>-1.25</v>
      </c>
      <c r="D27" s="18" t="n">
        <v>0</v>
      </c>
      <c r="E27" s="18" t="n">
        <v>0.7</v>
      </c>
      <c r="F27" s="18" t="n">
        <v>0.7</v>
      </c>
      <c r="G27" s="18" t="n">
        <v>3</v>
      </c>
      <c r="H27" s="18" t="n">
        <v>1</v>
      </c>
      <c r="I27" s="19" t="n">
        <v>0.9706</v>
      </c>
      <c r="J27" s="19" t="n">
        <v>0.9706</v>
      </c>
      <c r="K27" s="18"/>
      <c r="L27" s="19" t="n">
        <v>0.9706</v>
      </c>
      <c r="M27" s="19" t="n">
        <v>0.9706</v>
      </c>
      <c r="N27" s="28" t="n">
        <v>4.8</v>
      </c>
      <c r="O27" s="28" t="n">
        <v>7.2</v>
      </c>
      <c r="P27" s="29" t="n">
        <v>6.03</v>
      </c>
      <c r="Q27" s="30" t="n">
        <v>184</v>
      </c>
      <c r="R27" s="30" t="n">
        <v>2129</v>
      </c>
      <c r="S27" s="30" t="n">
        <v>104</v>
      </c>
      <c r="T27" s="30" t="n">
        <v>206.1</v>
      </c>
    </row>
    <row r="28" customFormat="false" ht="15" hidden="false" customHeight="false" outlineLevel="0" collapsed="false">
      <c r="A28" s="18" t="n">
        <v>27</v>
      </c>
      <c r="B28" s="18" t="n">
        <v>0.7</v>
      </c>
      <c r="C28" s="18" t="n">
        <v>-1.25</v>
      </c>
      <c r="D28" s="18" t="n">
        <v>0</v>
      </c>
      <c r="E28" s="18" t="n">
        <v>0.8</v>
      </c>
      <c r="F28" s="18" t="n">
        <v>0.6</v>
      </c>
      <c r="G28" s="18" t="n">
        <v>3</v>
      </c>
      <c r="H28" s="18" t="n">
        <v>3</v>
      </c>
      <c r="I28" s="19" t="n">
        <v>0.9682</v>
      </c>
      <c r="J28" s="19" t="n">
        <v>0.9658</v>
      </c>
      <c r="K28" s="19" t="n">
        <v>0.0140545366341264</v>
      </c>
      <c r="L28" s="19" t="n">
        <v>0.9785</v>
      </c>
      <c r="M28" s="19" t="n">
        <v>0.9507</v>
      </c>
      <c r="N28" s="28" t="n">
        <v>7.5</v>
      </c>
      <c r="O28" s="28" t="n">
        <v>9.1</v>
      </c>
      <c r="P28" s="29" t="n">
        <v>5.08</v>
      </c>
      <c r="Q28" s="30" t="n">
        <v>187</v>
      </c>
      <c r="R28" s="30" t="n">
        <v>2067</v>
      </c>
      <c r="S28" s="30" t="n">
        <v>146</v>
      </c>
      <c r="T28" s="30" t="n">
        <v>139.5</v>
      </c>
    </row>
    <row r="29" customFormat="false" ht="15" hidden="false" customHeight="false" outlineLevel="0" collapsed="false">
      <c r="A29" s="18" t="n">
        <v>28</v>
      </c>
      <c r="B29" s="18" t="n">
        <v>0.75</v>
      </c>
      <c r="C29" s="18" t="n">
        <v>-1.25</v>
      </c>
      <c r="D29" s="18" t="n">
        <v>0</v>
      </c>
      <c r="E29" s="18" t="n">
        <v>0.7</v>
      </c>
      <c r="F29" s="18" t="n">
        <v>0.6</v>
      </c>
      <c r="G29" s="18" t="n">
        <v>3</v>
      </c>
      <c r="H29" s="18" t="n">
        <v>3</v>
      </c>
      <c r="I29" s="19" t="n">
        <v>0.9661</v>
      </c>
      <c r="J29" s="19" t="n">
        <v>0.929733333333333</v>
      </c>
      <c r="K29" s="19" t="n">
        <v>0.078724350320173</v>
      </c>
      <c r="L29" s="19" t="n">
        <v>0.9837</v>
      </c>
      <c r="M29" s="19" t="n">
        <v>0.8394</v>
      </c>
      <c r="N29" s="28" t="n">
        <v>8.2</v>
      </c>
      <c r="O29" s="28" t="n">
        <v>8.8</v>
      </c>
      <c r="P29" s="29" t="n">
        <v>5.81</v>
      </c>
      <c r="Q29" s="30" t="n">
        <v>181</v>
      </c>
      <c r="R29" s="30" t="n">
        <v>2110</v>
      </c>
      <c r="S29" s="30" t="n">
        <v>113</v>
      </c>
      <c r="T29" s="30" t="n">
        <v>158.2</v>
      </c>
    </row>
    <row r="30" customFormat="false" ht="15" hidden="false" customHeight="false" outlineLevel="0" collapsed="false">
      <c r="A30" s="18" t="n">
        <v>29</v>
      </c>
      <c r="B30" s="18" t="n">
        <v>0.7</v>
      </c>
      <c r="C30" s="18" t="n">
        <v>-1.25</v>
      </c>
      <c r="D30" s="18" t="n">
        <v>0.1</v>
      </c>
      <c r="E30" s="18" t="n">
        <v>0.7</v>
      </c>
      <c r="F30" s="18" t="n">
        <v>0.6</v>
      </c>
      <c r="G30" s="18" t="n">
        <v>3</v>
      </c>
      <c r="H30" s="18" t="n">
        <v>1</v>
      </c>
      <c r="I30" s="19" t="n">
        <v>0.9649</v>
      </c>
      <c r="J30" s="19" t="n">
        <v>0.9649</v>
      </c>
      <c r="K30" s="18"/>
      <c r="L30" s="19" t="n">
        <v>0.9649</v>
      </c>
      <c r="M30" s="19" t="n">
        <v>0.9649</v>
      </c>
      <c r="N30" s="28" t="n">
        <v>7.8</v>
      </c>
      <c r="O30" s="28" t="n">
        <v>8.6</v>
      </c>
      <c r="P30" s="29" t="n">
        <v>5.46</v>
      </c>
      <c r="Q30" s="30" t="n">
        <v>192</v>
      </c>
      <c r="R30" s="30" t="n">
        <v>2033</v>
      </c>
      <c r="S30" s="30" t="n">
        <v>117</v>
      </c>
      <c r="T30" s="30" t="n">
        <v>108.2</v>
      </c>
    </row>
    <row r="31" customFormat="false" ht="15" hidden="false" customHeight="false" outlineLevel="0" collapsed="false">
      <c r="A31" s="18" t="n">
        <v>30</v>
      </c>
      <c r="B31" s="18" t="n">
        <v>0.7</v>
      </c>
      <c r="C31" s="18" t="n">
        <v>-1.25</v>
      </c>
      <c r="D31" s="18" t="n">
        <v>-0.1</v>
      </c>
      <c r="E31" s="18" t="n">
        <v>0.7</v>
      </c>
      <c r="F31" s="18" t="n">
        <v>0.6</v>
      </c>
      <c r="G31" s="18" t="n">
        <v>3</v>
      </c>
      <c r="H31" s="18" t="n">
        <v>1</v>
      </c>
      <c r="I31" s="19" t="n">
        <v>0.9618</v>
      </c>
      <c r="J31" s="19" t="n">
        <v>0.9618</v>
      </c>
      <c r="K31" s="18"/>
      <c r="L31" s="19" t="n">
        <v>0.9618</v>
      </c>
      <c r="M31" s="19" t="n">
        <v>0.9618</v>
      </c>
      <c r="N31" s="28" t="n">
        <v>7.4</v>
      </c>
      <c r="O31" s="28" t="n">
        <v>8.1</v>
      </c>
      <c r="P31" s="29" t="n">
        <v>5.35</v>
      </c>
      <c r="Q31" s="30" t="n">
        <v>182</v>
      </c>
      <c r="R31" s="30" t="n">
        <v>2199</v>
      </c>
      <c r="S31" s="30" t="n">
        <v>112</v>
      </c>
      <c r="T31" s="30" t="n">
        <v>315.8</v>
      </c>
    </row>
    <row r="32" customFormat="false" ht="15" hidden="false" customHeight="false" outlineLevel="0" collapsed="false">
      <c r="A32" s="18" t="n">
        <v>31</v>
      </c>
      <c r="B32" s="18" t="n">
        <v>0.7</v>
      </c>
      <c r="C32" s="18" t="n">
        <v>-1.25</v>
      </c>
      <c r="D32" s="18" t="n">
        <v>0</v>
      </c>
      <c r="E32" s="18" t="n">
        <v>0.7</v>
      </c>
      <c r="F32" s="18" t="n">
        <v>0.5</v>
      </c>
      <c r="G32" s="18" t="n">
        <v>3</v>
      </c>
      <c r="H32" s="18" t="n">
        <v>2</v>
      </c>
      <c r="I32" s="19" t="n">
        <v>0.9612</v>
      </c>
      <c r="J32" s="19" t="n">
        <v>0.9612</v>
      </c>
      <c r="K32" s="19" t="n">
        <v>0.00282842712474615</v>
      </c>
      <c r="L32" s="19" t="n">
        <v>0.9632</v>
      </c>
      <c r="M32" s="19" t="n">
        <v>0.9592</v>
      </c>
      <c r="N32" s="28" t="n">
        <v>7.35</v>
      </c>
      <c r="O32" s="28" t="n">
        <v>7.9</v>
      </c>
      <c r="P32" s="29" t="n">
        <v>5.22</v>
      </c>
      <c r="Q32" s="30" t="n">
        <v>192.5</v>
      </c>
      <c r="R32" s="30" t="n">
        <v>2100</v>
      </c>
      <c r="S32" s="30" t="n">
        <v>115</v>
      </c>
      <c r="T32" s="30" t="n">
        <v>112.25</v>
      </c>
    </row>
    <row r="33" customFormat="false" ht="15" hidden="false" customHeight="false" outlineLevel="0" collapsed="false">
      <c r="A33" s="18" t="n">
        <v>32</v>
      </c>
      <c r="B33" s="18" t="n">
        <v>0.75</v>
      </c>
      <c r="C33" s="18" t="n">
        <v>-1.25</v>
      </c>
      <c r="D33" s="18" t="n">
        <v>0</v>
      </c>
      <c r="E33" s="18" t="n">
        <v>0.8</v>
      </c>
      <c r="F33" s="18" t="n">
        <v>0.7</v>
      </c>
      <c r="G33" s="18" t="n">
        <v>3</v>
      </c>
      <c r="H33" s="18" t="n">
        <v>2</v>
      </c>
      <c r="I33" s="19" t="n">
        <v>0.956</v>
      </c>
      <c r="J33" s="19" t="n">
        <v>0.956</v>
      </c>
      <c r="K33" s="19" t="n">
        <v>0.00905096679918779</v>
      </c>
      <c r="L33" s="19" t="n">
        <v>0.9624</v>
      </c>
      <c r="M33" s="19" t="n">
        <v>0.9496</v>
      </c>
      <c r="N33" s="28" t="n">
        <v>8.95</v>
      </c>
      <c r="O33" s="28" t="n">
        <v>9.45</v>
      </c>
      <c r="P33" s="29" t="n">
        <v>4.965</v>
      </c>
      <c r="Q33" s="30" t="n">
        <v>191.5</v>
      </c>
      <c r="R33" s="30" t="n">
        <v>2083</v>
      </c>
      <c r="S33" s="30" t="n">
        <v>137.5</v>
      </c>
      <c r="T33" s="30" t="n">
        <v>164.8</v>
      </c>
    </row>
    <row r="34" customFormat="false" ht="15" hidden="false" customHeight="false" outlineLevel="0" collapsed="false">
      <c r="A34" s="18" t="n">
        <v>33</v>
      </c>
      <c r="B34" s="18" t="n">
        <v>0.75</v>
      </c>
      <c r="C34" s="18" t="n">
        <v>-1.25</v>
      </c>
      <c r="D34" s="18" t="n">
        <v>0</v>
      </c>
      <c r="E34" s="18" t="n">
        <v>0.8</v>
      </c>
      <c r="F34" s="18" t="n">
        <v>0.5</v>
      </c>
      <c r="G34" s="18" t="n">
        <v>3</v>
      </c>
      <c r="H34" s="18" t="n">
        <v>2</v>
      </c>
      <c r="I34" s="19" t="n">
        <v>0.9533</v>
      </c>
      <c r="J34" s="19" t="n">
        <v>0.9533</v>
      </c>
      <c r="K34" s="19" t="n">
        <v>0.00989949493661167</v>
      </c>
      <c r="L34" s="19" t="n">
        <v>0.9603</v>
      </c>
      <c r="M34" s="19" t="n">
        <v>0.9463</v>
      </c>
      <c r="N34" s="28" t="n">
        <v>9.1</v>
      </c>
      <c r="O34" s="28" t="n">
        <v>8.35</v>
      </c>
      <c r="P34" s="29" t="n">
        <v>4.965</v>
      </c>
      <c r="Q34" s="30" t="n">
        <v>192</v>
      </c>
      <c r="R34" s="30" t="n">
        <v>2060</v>
      </c>
      <c r="S34" s="30" t="n">
        <v>146.5</v>
      </c>
      <c r="T34" s="30" t="n">
        <v>171.35</v>
      </c>
    </row>
    <row r="35" customFormat="false" ht="15" hidden="false" customHeight="false" outlineLevel="0" collapsed="false">
      <c r="A35" s="18" t="n">
        <v>34</v>
      </c>
      <c r="B35" s="18" t="n">
        <v>0.6</v>
      </c>
      <c r="C35" s="18" t="n">
        <v>-1.25</v>
      </c>
      <c r="D35" s="18" t="n">
        <v>0</v>
      </c>
      <c r="E35" s="18" t="n">
        <v>0.5</v>
      </c>
      <c r="F35" s="18" t="n">
        <v>0.5</v>
      </c>
      <c r="G35" s="18" t="n">
        <v>3</v>
      </c>
      <c r="H35" s="18" t="n">
        <v>1</v>
      </c>
      <c r="I35" s="19" t="n">
        <v>0.9509</v>
      </c>
      <c r="J35" s="19" t="n">
        <v>0.9509</v>
      </c>
      <c r="K35" s="18"/>
      <c r="L35" s="19" t="n">
        <v>0.9509</v>
      </c>
      <c r="M35" s="19" t="n">
        <v>0.9509</v>
      </c>
      <c r="N35" s="28" t="n">
        <v>6.5</v>
      </c>
      <c r="O35" s="28" t="n">
        <v>7</v>
      </c>
      <c r="P35" s="29" t="n">
        <v>4.96</v>
      </c>
      <c r="Q35" s="30" t="n">
        <v>195</v>
      </c>
      <c r="R35" s="30" t="n">
        <v>2143</v>
      </c>
      <c r="S35" s="30" t="n">
        <v>67</v>
      </c>
      <c r="T35" s="30" t="n">
        <v>181.5</v>
      </c>
    </row>
    <row r="36" customFormat="false" ht="15" hidden="false" customHeight="false" outlineLevel="0" collapsed="false">
      <c r="A36" s="18" t="n">
        <v>35</v>
      </c>
      <c r="B36" s="18" t="n">
        <v>0.6</v>
      </c>
      <c r="C36" s="18" t="n">
        <v>-1.25</v>
      </c>
      <c r="D36" s="18" t="n">
        <v>0</v>
      </c>
      <c r="E36" s="18" t="n">
        <v>0.6</v>
      </c>
      <c r="F36" s="18" t="n">
        <v>0.5</v>
      </c>
      <c r="G36" s="18" t="n">
        <v>3</v>
      </c>
      <c r="H36" s="18" t="n">
        <v>2</v>
      </c>
      <c r="I36" s="19" t="n">
        <v>0.9495</v>
      </c>
      <c r="J36" s="19" t="n">
        <v>0.9495</v>
      </c>
      <c r="K36" s="19" t="n">
        <v>0.0193747258045114</v>
      </c>
      <c r="L36" s="19" t="n">
        <v>0.9632</v>
      </c>
      <c r="M36" s="19" t="n">
        <v>0.9358</v>
      </c>
      <c r="N36" s="28" t="n">
        <v>6.1</v>
      </c>
      <c r="O36" s="28" t="n">
        <v>7.7</v>
      </c>
      <c r="P36" s="29" t="n">
        <v>4.745</v>
      </c>
      <c r="Q36" s="30" t="n">
        <v>194.5</v>
      </c>
      <c r="R36" s="30" t="n">
        <v>2138</v>
      </c>
      <c r="S36" s="30" t="n">
        <v>88</v>
      </c>
      <c r="T36" s="30" t="n">
        <v>136.5</v>
      </c>
    </row>
    <row r="37" customFormat="false" ht="15" hidden="false" customHeight="false" outlineLevel="0" collapsed="false">
      <c r="A37" s="18" t="n">
        <v>36</v>
      </c>
      <c r="B37" s="18" t="n">
        <v>0.6</v>
      </c>
      <c r="C37" s="18" t="n">
        <v>-1.25</v>
      </c>
      <c r="D37" s="18" t="n">
        <v>0</v>
      </c>
      <c r="E37" s="18" t="n">
        <v>0.7</v>
      </c>
      <c r="F37" s="18" t="n">
        <v>0.6</v>
      </c>
      <c r="G37" s="18" t="n">
        <v>3</v>
      </c>
      <c r="H37" s="18" t="n">
        <v>3</v>
      </c>
      <c r="I37" s="19" t="n">
        <v>0.9488</v>
      </c>
      <c r="J37" s="19" t="n">
        <v>0.9482</v>
      </c>
      <c r="K37" s="19" t="n">
        <v>0.00423202079389975</v>
      </c>
      <c r="L37" s="19" t="n">
        <v>0.9521</v>
      </c>
      <c r="M37" s="19" t="n">
        <v>0.9437</v>
      </c>
      <c r="N37" s="28" t="n">
        <v>6.6</v>
      </c>
      <c r="O37" s="28" t="n">
        <v>8.6</v>
      </c>
      <c r="P37" s="29" t="n">
        <v>4.28</v>
      </c>
      <c r="Q37" s="30" t="n">
        <v>190</v>
      </c>
      <c r="R37" s="30" t="n">
        <v>2111</v>
      </c>
      <c r="S37" s="30" t="n">
        <v>111</v>
      </c>
      <c r="T37" s="30" t="n">
        <v>130</v>
      </c>
    </row>
    <row r="38" customFormat="false" ht="15" hidden="false" customHeight="false" outlineLevel="0" collapsed="false">
      <c r="A38" s="18" t="n">
        <v>37</v>
      </c>
      <c r="B38" s="18" t="n">
        <v>0.7</v>
      </c>
      <c r="C38" s="18" t="n">
        <v>-1.75</v>
      </c>
      <c r="D38" s="18" t="n">
        <v>0</v>
      </c>
      <c r="E38" s="18" t="n">
        <v>0.7</v>
      </c>
      <c r="F38" s="18" t="n">
        <v>0.6</v>
      </c>
      <c r="G38" s="18" t="n">
        <v>1</v>
      </c>
      <c r="H38" s="18" t="n">
        <v>3</v>
      </c>
      <c r="I38" s="19" t="n">
        <v>0.9484</v>
      </c>
      <c r="J38" s="19" t="n">
        <v>0.939733333333333</v>
      </c>
      <c r="K38" s="19" t="n">
        <v>0.0204287379280594</v>
      </c>
      <c r="L38" s="19" t="n">
        <v>0.9544</v>
      </c>
      <c r="M38" s="19" t="n">
        <v>0.9164</v>
      </c>
      <c r="N38" s="28" t="n">
        <v>10.8</v>
      </c>
      <c r="O38" s="28" t="n">
        <v>0</v>
      </c>
      <c r="P38" s="29" t="n">
        <v>4.31</v>
      </c>
      <c r="Q38" s="30" t="n">
        <v>230</v>
      </c>
      <c r="R38" s="30" t="n">
        <v>1281</v>
      </c>
      <c r="S38" s="30" t="n">
        <v>116</v>
      </c>
      <c r="T38" s="30" t="n">
        <v>151.8</v>
      </c>
    </row>
    <row r="39" customFormat="false" ht="15" hidden="false" customHeight="false" outlineLevel="0" collapsed="false">
      <c r="A39" s="18" t="n">
        <v>38</v>
      </c>
      <c r="B39" s="18" t="n">
        <v>0.7</v>
      </c>
      <c r="C39" s="18" t="n">
        <v>-1.75</v>
      </c>
      <c r="D39" s="18" t="n">
        <v>0</v>
      </c>
      <c r="E39" s="18" t="n">
        <v>0.7</v>
      </c>
      <c r="F39" s="18" t="n">
        <v>0.7</v>
      </c>
      <c r="G39" s="18" t="n">
        <v>1</v>
      </c>
      <c r="H39" s="18" t="n">
        <v>2</v>
      </c>
      <c r="I39" s="19" t="n">
        <v>0.94265</v>
      </c>
      <c r="J39" s="19" t="n">
        <v>0.94265</v>
      </c>
      <c r="K39" s="19" t="n">
        <v>0.0248194480196478</v>
      </c>
      <c r="L39" s="19" t="n">
        <v>0.9602</v>
      </c>
      <c r="M39" s="19" t="n">
        <v>0.9251</v>
      </c>
      <c r="N39" s="28" t="n">
        <v>10.35</v>
      </c>
      <c r="O39" s="28" t="n">
        <v>0</v>
      </c>
      <c r="P39" s="29" t="n">
        <v>4.395</v>
      </c>
      <c r="Q39" s="30" t="n">
        <v>222</v>
      </c>
      <c r="R39" s="30" t="n">
        <v>1244</v>
      </c>
      <c r="S39" s="30" t="n">
        <v>138.5</v>
      </c>
      <c r="T39" s="30" t="n">
        <v>123.4</v>
      </c>
    </row>
    <row r="40" customFormat="false" ht="15" hidden="false" customHeight="false" outlineLevel="0" collapsed="false">
      <c r="A40" s="18" t="n">
        <v>39</v>
      </c>
      <c r="B40" s="18" t="n">
        <v>0.5</v>
      </c>
      <c r="C40" s="18" t="n">
        <v>-1.25</v>
      </c>
      <c r="D40" s="18" t="n">
        <v>0.1</v>
      </c>
      <c r="E40" s="18" t="n">
        <v>0.6</v>
      </c>
      <c r="F40" s="18" t="n">
        <v>0.5</v>
      </c>
      <c r="G40" s="18" t="n">
        <v>3</v>
      </c>
      <c r="H40" s="18" t="n">
        <v>1</v>
      </c>
      <c r="I40" s="19" t="n">
        <v>0.9423</v>
      </c>
      <c r="J40" s="19" t="n">
        <v>0.9423</v>
      </c>
      <c r="K40" s="18"/>
      <c r="L40" s="19" t="n">
        <v>0.9423</v>
      </c>
      <c r="M40" s="19" t="n">
        <v>0.9423</v>
      </c>
      <c r="N40" s="28" t="n">
        <v>5.2</v>
      </c>
      <c r="O40" s="28" t="n">
        <v>9</v>
      </c>
      <c r="P40" s="29" t="n">
        <v>4.12</v>
      </c>
      <c r="Q40" s="30" t="n">
        <v>191</v>
      </c>
      <c r="R40" s="30" t="n">
        <v>2047</v>
      </c>
      <c r="S40" s="30" t="n">
        <v>84</v>
      </c>
      <c r="T40" s="30" t="n">
        <v>177.7</v>
      </c>
    </row>
    <row r="41" customFormat="false" ht="15" hidden="false" customHeight="false" outlineLevel="0" collapsed="false">
      <c r="A41" s="18" t="n">
        <v>40</v>
      </c>
      <c r="B41" s="18" t="n">
        <v>0.7</v>
      </c>
      <c r="C41" s="18" t="n">
        <v>-2</v>
      </c>
      <c r="D41" s="18" t="n">
        <v>0</v>
      </c>
      <c r="E41" s="18" t="n">
        <v>0.7</v>
      </c>
      <c r="F41" s="18" t="n">
        <v>0.6</v>
      </c>
      <c r="G41" s="18" t="n">
        <v>1</v>
      </c>
      <c r="H41" s="18" t="n">
        <v>2</v>
      </c>
      <c r="I41" s="19" t="n">
        <v>0.94025</v>
      </c>
      <c r="J41" s="19" t="n">
        <v>0.94025</v>
      </c>
      <c r="K41" s="19" t="n">
        <v>0.0215667568261897</v>
      </c>
      <c r="L41" s="19" t="n">
        <v>0.9555</v>
      </c>
      <c r="M41" s="19" t="n">
        <v>0.925</v>
      </c>
      <c r="N41" s="28" t="n">
        <v>11.4</v>
      </c>
      <c r="O41" s="28" t="n">
        <v>0</v>
      </c>
      <c r="P41" s="29" t="n">
        <v>4.13</v>
      </c>
      <c r="Q41" s="30" t="n">
        <v>234.5</v>
      </c>
      <c r="R41" s="30" t="n">
        <v>611</v>
      </c>
      <c r="S41" s="30" t="n">
        <v>148</v>
      </c>
      <c r="T41" s="30" t="n">
        <v>82.35</v>
      </c>
    </row>
    <row r="42" customFormat="false" ht="15" hidden="false" customHeight="false" outlineLevel="0" collapsed="false">
      <c r="A42" s="18" t="n">
        <v>41</v>
      </c>
      <c r="B42" s="18" t="n">
        <v>0.7</v>
      </c>
      <c r="C42" s="18" t="n">
        <v>-1.5</v>
      </c>
      <c r="D42" s="18" t="n">
        <v>0</v>
      </c>
      <c r="E42" s="18" t="n">
        <v>0.7</v>
      </c>
      <c r="F42" s="18" t="n">
        <v>0.6</v>
      </c>
      <c r="G42" s="18" t="n">
        <v>1</v>
      </c>
      <c r="H42" s="18" t="n">
        <v>2</v>
      </c>
      <c r="I42" s="19" t="n">
        <v>0.93555</v>
      </c>
      <c r="J42" s="19" t="n">
        <v>0.93555</v>
      </c>
      <c r="K42" s="19" t="n">
        <v>0.042214274836837</v>
      </c>
      <c r="L42" s="19" t="n">
        <v>0.9654</v>
      </c>
      <c r="M42" s="19" t="n">
        <v>0.9057</v>
      </c>
      <c r="N42" s="28" t="n">
        <v>9.95</v>
      </c>
      <c r="O42" s="28" t="n">
        <v>0</v>
      </c>
      <c r="P42" s="29" t="n">
        <v>4.5</v>
      </c>
      <c r="Q42" s="30" t="n">
        <v>212</v>
      </c>
      <c r="R42" s="30" t="n">
        <v>1752</v>
      </c>
      <c r="S42" s="30" t="n">
        <v>121.5</v>
      </c>
      <c r="T42" s="30" t="n">
        <v>144.55</v>
      </c>
    </row>
    <row r="43" customFormat="false" ht="15" hidden="false" customHeight="false" outlineLevel="0" collapsed="false">
      <c r="A43" s="18" t="n">
        <v>42</v>
      </c>
      <c r="B43" s="18" t="n">
        <v>0.6</v>
      </c>
      <c r="C43" s="18" t="n">
        <v>-1.5</v>
      </c>
      <c r="D43" s="18" t="n">
        <v>0</v>
      </c>
      <c r="E43" s="18" t="n">
        <v>0.7</v>
      </c>
      <c r="F43" s="18" t="n">
        <v>0.5</v>
      </c>
      <c r="G43" s="18" t="n">
        <v>3</v>
      </c>
      <c r="H43" s="18" t="n">
        <v>1</v>
      </c>
      <c r="I43" s="19" t="n">
        <v>0.9317</v>
      </c>
      <c r="J43" s="19" t="n">
        <v>0.9317</v>
      </c>
      <c r="K43" s="18"/>
      <c r="L43" s="19" t="n">
        <v>0.9317</v>
      </c>
      <c r="M43" s="19" t="n">
        <v>0.9317</v>
      </c>
      <c r="N43" s="28" t="n">
        <v>8.6</v>
      </c>
      <c r="O43" s="28" t="n">
        <v>11.4</v>
      </c>
      <c r="P43" s="29" t="n">
        <v>3.86</v>
      </c>
      <c r="Q43" s="30" t="n">
        <v>206</v>
      </c>
      <c r="R43" s="30" t="n">
        <v>1722</v>
      </c>
      <c r="S43" s="30" t="n">
        <v>134</v>
      </c>
      <c r="T43" s="30" t="n">
        <v>119.4</v>
      </c>
    </row>
    <row r="44" customFormat="false" ht="15" hidden="false" customHeight="false" outlineLevel="0" collapsed="false">
      <c r="A44" s="18" t="n">
        <v>43</v>
      </c>
      <c r="B44" s="18" t="n">
        <v>0.5</v>
      </c>
      <c r="C44" s="18" t="n">
        <v>-1.5</v>
      </c>
      <c r="D44" s="18" t="n">
        <v>0</v>
      </c>
      <c r="E44" s="18" t="n">
        <v>0.6</v>
      </c>
      <c r="F44" s="18" t="n">
        <v>0.5</v>
      </c>
      <c r="G44" s="18" t="n">
        <v>3</v>
      </c>
      <c r="H44" s="18" t="n">
        <v>1</v>
      </c>
      <c r="I44" s="19" t="n">
        <v>0.9261</v>
      </c>
      <c r="J44" s="19" t="n">
        <v>0.9261</v>
      </c>
      <c r="K44" s="18"/>
      <c r="L44" s="19" t="n">
        <v>0.9261</v>
      </c>
      <c r="M44" s="19" t="n">
        <v>0.9261</v>
      </c>
      <c r="N44" s="28" t="n">
        <v>6.1</v>
      </c>
      <c r="O44" s="28" t="n">
        <v>8.1</v>
      </c>
      <c r="P44" s="29" t="n">
        <v>4.16</v>
      </c>
      <c r="Q44" s="30" t="n">
        <v>223</v>
      </c>
      <c r="R44" s="30" t="n">
        <v>1795</v>
      </c>
      <c r="S44" s="30" t="n">
        <v>86</v>
      </c>
      <c r="T44" s="30" t="n">
        <v>133.8</v>
      </c>
    </row>
    <row r="45" customFormat="false" ht="15" hidden="false" customHeight="false" outlineLevel="0" collapsed="false">
      <c r="A45" s="18" t="n">
        <v>44</v>
      </c>
      <c r="B45" s="18" t="n">
        <v>0.6</v>
      </c>
      <c r="C45" s="18" t="n">
        <v>-1.25</v>
      </c>
      <c r="D45" s="18" t="n">
        <v>0</v>
      </c>
      <c r="E45" s="18" t="n">
        <v>0.7</v>
      </c>
      <c r="F45" s="18" t="n">
        <v>0.5</v>
      </c>
      <c r="G45" s="18" t="n">
        <v>3</v>
      </c>
      <c r="H45" s="18" t="n">
        <v>1</v>
      </c>
      <c r="I45" s="19" t="n">
        <v>0.924</v>
      </c>
      <c r="J45" s="19" t="n">
        <v>0.924</v>
      </c>
      <c r="K45" s="18"/>
      <c r="L45" s="19" t="n">
        <v>0.924</v>
      </c>
      <c r="M45" s="19" t="n">
        <v>0.924</v>
      </c>
      <c r="N45" s="28" t="n">
        <v>8.3</v>
      </c>
      <c r="O45" s="28" t="n">
        <v>9.1</v>
      </c>
      <c r="P45" s="29" t="n">
        <v>3.93</v>
      </c>
      <c r="Q45" s="30" t="n">
        <v>195</v>
      </c>
      <c r="R45" s="30" t="n">
        <v>2089</v>
      </c>
      <c r="S45" s="30" t="n">
        <v>134</v>
      </c>
      <c r="T45" s="30" t="n">
        <v>277.1</v>
      </c>
    </row>
    <row r="46" customFormat="false" ht="15" hidden="false" customHeight="false" outlineLevel="0" collapsed="false">
      <c r="A46" s="18" t="n">
        <v>45</v>
      </c>
      <c r="B46" s="18" t="n">
        <v>0.5</v>
      </c>
      <c r="C46" s="18" t="n">
        <v>-1.25</v>
      </c>
      <c r="D46" s="18" t="n">
        <v>-0.1</v>
      </c>
      <c r="E46" s="18" t="n">
        <v>0.6</v>
      </c>
      <c r="F46" s="18" t="n">
        <v>0.5</v>
      </c>
      <c r="G46" s="18" t="n">
        <v>3</v>
      </c>
      <c r="H46" s="18" t="n">
        <v>1</v>
      </c>
      <c r="I46" s="19" t="n">
        <v>0.9116</v>
      </c>
      <c r="J46" s="19" t="n">
        <v>0.9116</v>
      </c>
      <c r="K46" s="18"/>
      <c r="L46" s="19" t="n">
        <v>0.9116</v>
      </c>
      <c r="M46" s="19" t="n">
        <v>0.9116</v>
      </c>
      <c r="N46" s="28" t="n">
        <v>5.9</v>
      </c>
      <c r="O46" s="28" t="n">
        <v>6.7</v>
      </c>
      <c r="P46" s="29" t="n">
        <v>3.5</v>
      </c>
      <c r="Q46" s="30" t="n">
        <v>184</v>
      </c>
      <c r="R46" s="30" t="n">
        <v>2231</v>
      </c>
      <c r="S46" s="30" t="n">
        <v>88</v>
      </c>
      <c r="T46" s="30" t="n">
        <v>119.6</v>
      </c>
    </row>
    <row r="47" customFormat="false" ht="15" hidden="false" customHeight="false" outlineLevel="0" collapsed="false">
      <c r="A47" s="18" t="n">
        <v>46</v>
      </c>
      <c r="B47" s="18" t="n">
        <v>0.5</v>
      </c>
      <c r="C47" s="18" t="n">
        <v>-1.25</v>
      </c>
      <c r="D47" s="18" t="n">
        <v>0</v>
      </c>
      <c r="E47" s="18" t="n">
        <v>0.6</v>
      </c>
      <c r="F47" s="18" t="n">
        <v>0.5</v>
      </c>
      <c r="G47" s="18" t="n">
        <v>3</v>
      </c>
      <c r="H47" s="18" t="n">
        <v>4</v>
      </c>
      <c r="I47" s="19" t="n">
        <v>0.9</v>
      </c>
      <c r="J47" s="19" t="n">
        <v>0.899325</v>
      </c>
      <c r="K47" s="19" t="n">
        <v>0.040313634996942</v>
      </c>
      <c r="L47" s="19" t="n">
        <v>0.944</v>
      </c>
      <c r="M47" s="19" t="n">
        <v>0.8533</v>
      </c>
      <c r="N47" s="28" t="n">
        <v>5.35</v>
      </c>
      <c r="O47" s="28" t="n">
        <v>7.1</v>
      </c>
      <c r="P47" s="29" t="n">
        <v>3.245</v>
      </c>
      <c r="Q47" s="30" t="n">
        <v>193</v>
      </c>
      <c r="R47" s="30" t="n">
        <v>2119</v>
      </c>
      <c r="S47" s="30" t="n">
        <v>82</v>
      </c>
      <c r="T47" s="30" t="n">
        <v>128.15</v>
      </c>
    </row>
    <row r="48" customFormat="false" ht="15" hidden="false" customHeight="false" outlineLevel="0" collapsed="false">
      <c r="A48" s="18" t="n">
        <v>47</v>
      </c>
      <c r="B48" s="18" t="n">
        <v>0.4</v>
      </c>
      <c r="C48" s="18" t="n">
        <v>-1.25</v>
      </c>
      <c r="D48" s="18" t="n">
        <v>0</v>
      </c>
      <c r="E48" s="18" t="n">
        <v>0.5</v>
      </c>
      <c r="F48" s="18" t="n">
        <v>0.5</v>
      </c>
      <c r="G48" s="18" t="n">
        <v>3</v>
      </c>
      <c r="H48" s="18" t="n">
        <v>1</v>
      </c>
      <c r="I48" s="19" t="n">
        <v>0.899</v>
      </c>
      <c r="J48" s="19" t="n">
        <v>0.899</v>
      </c>
      <c r="K48" s="18"/>
      <c r="L48" s="19" t="n">
        <v>0.899</v>
      </c>
      <c r="M48" s="19" t="n">
        <v>0.899</v>
      </c>
      <c r="N48" s="28" t="n">
        <v>4.1</v>
      </c>
      <c r="O48" s="28" t="n">
        <v>7.1</v>
      </c>
      <c r="P48" s="29" t="n">
        <v>3.22</v>
      </c>
      <c r="Q48" s="30" t="n">
        <v>185</v>
      </c>
      <c r="R48" s="30" t="n">
        <v>2162</v>
      </c>
      <c r="S48" s="30" t="n">
        <v>63</v>
      </c>
      <c r="T48" s="30" t="n">
        <v>94</v>
      </c>
    </row>
    <row r="49" customFormat="false" ht="15" hidden="false" customHeight="false" outlineLevel="0" collapsed="false">
      <c r="A49" s="18" t="n">
        <v>48</v>
      </c>
      <c r="B49" s="18" t="n">
        <v>0.5</v>
      </c>
      <c r="C49" s="18" t="n">
        <v>-1.5</v>
      </c>
      <c r="D49" s="18" t="n">
        <v>0</v>
      </c>
      <c r="E49" s="18" t="n">
        <v>0.5</v>
      </c>
      <c r="F49" s="18" t="n">
        <v>0.5</v>
      </c>
      <c r="G49" s="18" t="n">
        <v>3</v>
      </c>
      <c r="H49" s="18" t="n">
        <v>1</v>
      </c>
      <c r="I49" s="19" t="n">
        <v>0.8835</v>
      </c>
      <c r="J49" s="19" t="n">
        <v>0.8835</v>
      </c>
      <c r="K49" s="18"/>
      <c r="L49" s="19" t="n">
        <v>0.8835</v>
      </c>
      <c r="M49" s="19" t="n">
        <v>0.8835</v>
      </c>
      <c r="N49" s="28" t="n">
        <v>7.6</v>
      </c>
      <c r="O49" s="28" t="n">
        <v>10.3</v>
      </c>
      <c r="P49" s="29" t="n">
        <v>2.84</v>
      </c>
      <c r="Q49" s="30" t="n">
        <v>195</v>
      </c>
      <c r="R49" s="30" t="n">
        <v>1784</v>
      </c>
      <c r="S49" s="30" t="n">
        <v>84</v>
      </c>
      <c r="T49" s="30" t="n">
        <v>180.5</v>
      </c>
    </row>
    <row r="50" customFormat="false" ht="15" hidden="false" customHeight="false" outlineLevel="0" collapsed="false">
      <c r="A50" s="18" t="n">
        <v>49</v>
      </c>
      <c r="B50" s="18" t="n">
        <v>0.5</v>
      </c>
      <c r="C50" s="18" t="n">
        <v>-1.25</v>
      </c>
      <c r="D50" s="18" t="n">
        <v>0.1</v>
      </c>
      <c r="E50" s="18" t="n">
        <v>0.5</v>
      </c>
      <c r="F50" s="18" t="n">
        <v>0.5</v>
      </c>
      <c r="G50" s="18" t="n">
        <v>3</v>
      </c>
      <c r="H50" s="18" t="n">
        <v>1</v>
      </c>
      <c r="I50" s="19" t="n">
        <v>0.8825</v>
      </c>
      <c r="J50" s="19" t="n">
        <v>0.8825</v>
      </c>
      <c r="K50" s="18"/>
      <c r="L50" s="19" t="n">
        <v>0.8825</v>
      </c>
      <c r="M50" s="19" t="n">
        <v>0.8825</v>
      </c>
      <c r="N50" s="28" t="n">
        <v>7.9</v>
      </c>
      <c r="O50" s="28" t="n">
        <v>10.6</v>
      </c>
      <c r="P50" s="29" t="n">
        <v>2.63</v>
      </c>
      <c r="Q50" s="30" t="n">
        <v>183</v>
      </c>
      <c r="R50" s="30" t="n">
        <v>2075</v>
      </c>
      <c r="S50" s="30" t="n">
        <v>57</v>
      </c>
      <c r="T50" s="30" t="n">
        <v>164</v>
      </c>
    </row>
    <row r="51" customFormat="false" ht="15" hidden="false" customHeight="false" outlineLevel="0" collapsed="false">
      <c r="A51" s="18" t="n">
        <v>50</v>
      </c>
      <c r="B51" s="18" t="n">
        <v>0.5</v>
      </c>
      <c r="C51" s="18" t="n">
        <v>-1.25</v>
      </c>
      <c r="D51" s="18" t="n">
        <v>0</v>
      </c>
      <c r="E51" s="18" t="n">
        <v>0.5</v>
      </c>
      <c r="F51" s="18" t="n">
        <v>0.4</v>
      </c>
      <c r="G51" s="18" t="n">
        <v>3</v>
      </c>
      <c r="H51" s="18" t="n">
        <v>1</v>
      </c>
      <c r="I51" s="19" t="n">
        <v>0.8765</v>
      </c>
      <c r="J51" s="19" t="n">
        <v>0.8765</v>
      </c>
      <c r="K51" s="18"/>
      <c r="L51" s="19" t="n">
        <v>0.8765</v>
      </c>
      <c r="M51" s="19" t="n">
        <v>0.8765</v>
      </c>
      <c r="N51" s="28" t="n">
        <v>7.5</v>
      </c>
      <c r="O51" s="28" t="n">
        <v>12</v>
      </c>
      <c r="P51" s="29" t="n">
        <v>2.89</v>
      </c>
      <c r="Q51" s="30" t="n">
        <v>191</v>
      </c>
      <c r="R51" s="30" t="n">
        <v>2137</v>
      </c>
      <c r="S51" s="30" t="n">
        <v>52</v>
      </c>
      <c r="T51" s="30" t="n">
        <v>67</v>
      </c>
    </row>
    <row r="52" customFormat="false" ht="15" hidden="false" customHeight="false" outlineLevel="0" collapsed="false">
      <c r="A52" s="18" t="n">
        <v>51</v>
      </c>
      <c r="B52" s="18" t="n">
        <v>0.5</v>
      </c>
      <c r="C52" s="18" t="n">
        <v>-1.25</v>
      </c>
      <c r="D52" s="18" t="n">
        <v>0</v>
      </c>
      <c r="E52" s="18" t="n">
        <v>0.6</v>
      </c>
      <c r="F52" s="18" t="n">
        <v>0.6</v>
      </c>
      <c r="G52" s="18" t="n">
        <v>3</v>
      </c>
      <c r="H52" s="18" t="n">
        <v>1</v>
      </c>
      <c r="I52" s="19" t="n">
        <v>0.8631</v>
      </c>
      <c r="J52" s="19" t="n">
        <v>0.8631</v>
      </c>
      <c r="K52" s="18"/>
      <c r="L52" s="19" t="n">
        <v>0.8631</v>
      </c>
      <c r="M52" s="19" t="n">
        <v>0.8631</v>
      </c>
      <c r="N52" s="28" t="n">
        <v>8</v>
      </c>
      <c r="O52" s="28" t="n">
        <v>9.5</v>
      </c>
      <c r="P52" s="29" t="n">
        <v>2.74</v>
      </c>
      <c r="Q52" s="30" t="n">
        <v>196</v>
      </c>
      <c r="R52" s="30" t="n">
        <v>2151</v>
      </c>
      <c r="S52" s="30" t="n">
        <v>76</v>
      </c>
      <c r="T52" s="30" t="n">
        <v>282.4</v>
      </c>
    </row>
    <row r="53" customFormat="false" ht="15" hidden="false" customHeight="false" outlineLevel="0" collapsed="false">
      <c r="A53" s="18" t="n">
        <v>52</v>
      </c>
      <c r="B53" s="18" t="n">
        <v>0.5</v>
      </c>
      <c r="C53" s="18" t="n">
        <v>-1.25</v>
      </c>
      <c r="D53" s="18" t="n">
        <v>0</v>
      </c>
      <c r="E53" s="18" t="n">
        <v>0.5</v>
      </c>
      <c r="F53" s="18" t="n">
        <v>0.5</v>
      </c>
      <c r="G53" s="18" t="n">
        <v>3</v>
      </c>
      <c r="H53" s="18" t="n">
        <v>4</v>
      </c>
      <c r="I53" s="19" t="n">
        <v>0.86225</v>
      </c>
      <c r="J53" s="19" t="n">
        <v>0.848675</v>
      </c>
      <c r="K53" s="19" t="n">
        <v>0.0913717087870566</v>
      </c>
      <c r="L53" s="19" t="n">
        <v>0.9431</v>
      </c>
      <c r="M53" s="19" t="n">
        <v>0.7271</v>
      </c>
      <c r="N53" s="28" t="n">
        <v>6.85</v>
      </c>
      <c r="O53" s="28" t="n">
        <v>7.5</v>
      </c>
      <c r="P53" s="29" t="n">
        <v>2.81</v>
      </c>
      <c r="Q53" s="30" t="n">
        <v>186</v>
      </c>
      <c r="R53" s="30" t="n">
        <v>2147</v>
      </c>
      <c r="S53" s="30" t="n">
        <v>63.5</v>
      </c>
      <c r="T53" s="30" t="n">
        <v>93.25</v>
      </c>
    </row>
    <row r="54" customFormat="false" ht="15" hidden="false" customHeight="false" outlineLevel="0" collapsed="false">
      <c r="A54" s="18" t="n">
        <v>53</v>
      </c>
      <c r="B54" s="18" t="n">
        <v>0.5</v>
      </c>
      <c r="C54" s="18" t="n">
        <v>-1.25</v>
      </c>
      <c r="D54" s="18" t="n">
        <v>0</v>
      </c>
      <c r="E54" s="18" t="n">
        <v>0.6</v>
      </c>
      <c r="F54" s="18" t="n">
        <v>0.4</v>
      </c>
      <c r="G54" s="18" t="n">
        <v>3</v>
      </c>
      <c r="H54" s="18" t="n">
        <v>1</v>
      </c>
      <c r="I54" s="19" t="n">
        <v>0.8528</v>
      </c>
      <c r="J54" s="19" t="n">
        <v>0.8528</v>
      </c>
      <c r="K54" s="18"/>
      <c r="L54" s="19" t="n">
        <v>0.8528</v>
      </c>
      <c r="M54" s="19" t="n">
        <v>0.8528</v>
      </c>
      <c r="N54" s="28" t="n">
        <v>8.8</v>
      </c>
      <c r="O54" s="28" t="n">
        <v>7.6</v>
      </c>
      <c r="P54" s="29" t="n">
        <v>2.53</v>
      </c>
      <c r="Q54" s="30" t="n">
        <v>188</v>
      </c>
      <c r="R54" s="30" t="n">
        <v>2141</v>
      </c>
      <c r="S54" s="30" t="n">
        <v>64</v>
      </c>
      <c r="T54" s="30" t="n">
        <v>132.7</v>
      </c>
    </row>
    <row r="55" customFormat="false" ht="15" hidden="false" customHeight="false" outlineLevel="0" collapsed="false">
      <c r="A55" s="18" t="n">
        <v>54</v>
      </c>
      <c r="B55" s="18" t="n">
        <v>0.5</v>
      </c>
      <c r="C55" s="18" t="n">
        <v>-1.25</v>
      </c>
      <c r="D55" s="18" t="n">
        <v>-0.2</v>
      </c>
      <c r="E55" s="18" t="n">
        <v>0.5</v>
      </c>
      <c r="F55" s="18" t="n">
        <v>0.5</v>
      </c>
      <c r="G55" s="18" t="n">
        <v>3</v>
      </c>
      <c r="H55" s="18" t="n">
        <v>1</v>
      </c>
      <c r="I55" s="19" t="n">
        <v>0.8515</v>
      </c>
      <c r="J55" s="19" t="n">
        <v>0.8515</v>
      </c>
      <c r="K55" s="18"/>
      <c r="L55" s="19" t="n">
        <v>0.8515</v>
      </c>
      <c r="M55" s="19" t="n">
        <v>0.8515</v>
      </c>
      <c r="N55" s="28" t="n">
        <v>7.5</v>
      </c>
      <c r="O55" s="28" t="n">
        <v>8.9</v>
      </c>
      <c r="P55" s="29" t="n">
        <v>2.93</v>
      </c>
      <c r="Q55" s="30" t="n">
        <v>193</v>
      </c>
      <c r="R55" s="30" t="n">
        <v>2292</v>
      </c>
      <c r="S55" s="30" t="n">
        <v>64</v>
      </c>
      <c r="T55" s="30" t="n">
        <v>181.2</v>
      </c>
    </row>
    <row r="56" customFormat="false" ht="15" hidden="false" customHeight="false" outlineLevel="0" collapsed="false">
      <c r="A56" s="18" t="n">
        <v>55</v>
      </c>
      <c r="B56" s="18" t="n">
        <v>0.5</v>
      </c>
      <c r="C56" s="18" t="n">
        <v>-1.25</v>
      </c>
      <c r="D56" s="18" t="n">
        <v>-0.1</v>
      </c>
      <c r="E56" s="18" t="n">
        <v>0.5</v>
      </c>
      <c r="F56" s="18" t="n">
        <v>0.5</v>
      </c>
      <c r="G56" s="18" t="n">
        <v>3</v>
      </c>
      <c r="H56" s="18" t="n">
        <v>1</v>
      </c>
      <c r="I56" s="19" t="n">
        <v>0.8339</v>
      </c>
      <c r="J56" s="19" t="n">
        <v>0.8339</v>
      </c>
      <c r="K56" s="18"/>
      <c r="L56" s="19" t="n">
        <v>0.8339</v>
      </c>
      <c r="M56" s="19" t="n">
        <v>0.8339</v>
      </c>
      <c r="N56" s="28" t="n">
        <v>8.6</v>
      </c>
      <c r="O56" s="28" t="n">
        <v>8.5</v>
      </c>
      <c r="P56" s="29" t="n">
        <v>2.31</v>
      </c>
      <c r="Q56" s="30" t="n">
        <v>173</v>
      </c>
      <c r="R56" s="30" t="n">
        <v>2252</v>
      </c>
      <c r="S56" s="30" t="n">
        <v>58</v>
      </c>
      <c r="T56" s="30" t="n">
        <v>165.3</v>
      </c>
    </row>
    <row r="57" customFormat="false" ht="15" hidden="false" customHeight="false" outlineLevel="0" collapsed="false">
      <c r="A57" s="18" t="n">
        <v>56</v>
      </c>
      <c r="B57" s="18" t="n">
        <v>0.5</v>
      </c>
      <c r="C57" s="18" t="n">
        <v>-1</v>
      </c>
      <c r="D57" s="18" t="n">
        <v>0</v>
      </c>
      <c r="E57" s="18" t="n">
        <v>0.6</v>
      </c>
      <c r="F57" s="18" t="n">
        <v>0.5</v>
      </c>
      <c r="G57" s="18" t="n">
        <v>3</v>
      </c>
      <c r="H57" s="18" t="n">
        <v>1</v>
      </c>
      <c r="I57" s="19" t="n">
        <v>0.8317</v>
      </c>
      <c r="J57" s="19" t="n">
        <v>0.8317</v>
      </c>
      <c r="K57" s="18"/>
      <c r="L57" s="19" t="n">
        <v>0.8317</v>
      </c>
      <c r="M57" s="19" t="n">
        <v>0.8317</v>
      </c>
      <c r="N57" s="28" t="n">
        <v>7.9</v>
      </c>
      <c r="O57" s="28" t="n">
        <v>8.3</v>
      </c>
      <c r="P57" s="29" t="n">
        <v>1.98</v>
      </c>
      <c r="Q57" s="30" t="n">
        <v>139</v>
      </c>
      <c r="R57" s="30" t="n">
        <v>2402</v>
      </c>
      <c r="S57" s="30" t="n">
        <v>79</v>
      </c>
      <c r="T57" s="30" t="n">
        <v>143.5</v>
      </c>
    </row>
    <row r="58" customFormat="false" ht="15" hidden="false" customHeight="false" outlineLevel="0" collapsed="false">
      <c r="A58" s="18" t="n">
        <v>57</v>
      </c>
      <c r="B58" s="18" t="n">
        <v>0.5</v>
      </c>
      <c r="C58" s="18" t="n">
        <v>-1.25</v>
      </c>
      <c r="D58" s="18" t="n">
        <v>0</v>
      </c>
      <c r="E58" s="18" t="n">
        <v>0.7</v>
      </c>
      <c r="F58" s="18" t="n">
        <v>0.5</v>
      </c>
      <c r="G58" s="18" t="n">
        <v>3</v>
      </c>
      <c r="H58" s="18" t="n">
        <v>1</v>
      </c>
      <c r="I58" s="19" t="n">
        <v>0.8069</v>
      </c>
      <c r="J58" s="19" t="n">
        <v>0.8069</v>
      </c>
      <c r="K58" s="18"/>
      <c r="L58" s="19" t="n">
        <v>0.8069</v>
      </c>
      <c r="M58" s="19" t="n">
        <v>0.8069</v>
      </c>
      <c r="N58" s="28" t="n">
        <v>9.6</v>
      </c>
      <c r="O58" s="28" t="n">
        <v>9.7</v>
      </c>
      <c r="P58" s="29" t="n">
        <v>2.26</v>
      </c>
      <c r="Q58" s="30" t="n">
        <v>196</v>
      </c>
      <c r="R58" s="30" t="n">
        <v>2094</v>
      </c>
      <c r="S58" s="30" t="n">
        <v>101</v>
      </c>
      <c r="T58" s="30" t="n">
        <v>211.7</v>
      </c>
    </row>
    <row r="59" customFormat="false" ht="15" hidden="false" customHeight="false" outlineLevel="0" collapsed="false">
      <c r="A59" s="18" t="n">
        <v>58</v>
      </c>
      <c r="B59" s="18" t="n">
        <v>0.4</v>
      </c>
      <c r="C59" s="18" t="n">
        <v>-1.25</v>
      </c>
      <c r="D59" s="18" t="n">
        <v>0</v>
      </c>
      <c r="E59" s="18" t="n">
        <v>0.6</v>
      </c>
      <c r="F59" s="18" t="n">
        <v>0.5</v>
      </c>
      <c r="G59" s="18" t="n">
        <v>3</v>
      </c>
      <c r="H59" s="18" t="n">
        <v>1</v>
      </c>
      <c r="I59" s="19" t="n">
        <v>0.7791</v>
      </c>
      <c r="J59" s="19" t="n">
        <v>0.7791</v>
      </c>
      <c r="K59" s="18"/>
      <c r="L59" s="19" t="n">
        <v>0.7791</v>
      </c>
      <c r="M59" s="19" t="n">
        <v>0.7791</v>
      </c>
      <c r="N59" s="28" t="n">
        <v>6</v>
      </c>
      <c r="O59" s="28" t="n">
        <v>7.7</v>
      </c>
      <c r="P59" s="29" t="n">
        <v>2.28</v>
      </c>
      <c r="Q59" s="30" t="n">
        <v>189</v>
      </c>
      <c r="R59" s="30" t="n">
        <v>2139</v>
      </c>
      <c r="S59" s="30" t="n">
        <v>86</v>
      </c>
      <c r="T59" s="30" t="n">
        <v>166.6</v>
      </c>
    </row>
    <row r="60" customFormat="false" ht="15" hidden="false" customHeight="false" outlineLevel="0" collapsed="false">
      <c r="A60" s="18" t="n">
        <v>59</v>
      </c>
      <c r="B60" s="18" t="n">
        <v>0.5</v>
      </c>
      <c r="C60" s="18" t="n">
        <v>-1</v>
      </c>
      <c r="D60" s="18" t="n">
        <v>0</v>
      </c>
      <c r="E60" s="18" t="n">
        <v>0.5</v>
      </c>
      <c r="F60" s="18" t="n">
        <v>0.5</v>
      </c>
      <c r="G60" s="18" t="n">
        <v>3</v>
      </c>
      <c r="H60" s="18" t="n">
        <v>1</v>
      </c>
      <c r="I60" s="19" t="n">
        <v>0.7624</v>
      </c>
      <c r="J60" s="19" t="n">
        <v>0.7624</v>
      </c>
      <c r="K60" s="18"/>
      <c r="L60" s="19" t="n">
        <v>0.7624</v>
      </c>
      <c r="M60" s="19" t="n">
        <v>0.7624</v>
      </c>
      <c r="N60" s="28" t="n">
        <v>9.3</v>
      </c>
      <c r="O60" s="28" t="n">
        <v>9.7</v>
      </c>
      <c r="P60" s="29" t="n">
        <v>2.05</v>
      </c>
      <c r="Q60" s="30" t="n">
        <v>171</v>
      </c>
      <c r="R60" s="30" t="n">
        <v>2418</v>
      </c>
      <c r="S60" s="30" t="n">
        <v>62</v>
      </c>
      <c r="T60" s="30" t="n">
        <v>109.6</v>
      </c>
    </row>
    <row r="62" customFormat="false" ht="15" hidden="false" customHeight="false" outlineLevel="0" collapsed="false">
      <c r="A62" s="16" t="s">
        <v>475</v>
      </c>
    </row>
  </sheetData>
  <autoFilter ref="A1:T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6" min="5" style="0" width="5"/>
    <col collapsed="false" customWidth="true" hidden="false" outlineLevel="0" max="8" min="7" style="0" width="9"/>
    <col collapsed="false" customWidth="true" hidden="false" outlineLevel="0" max="11" min="9" style="0" width="8"/>
    <col collapsed="false" customWidth="true" hidden="false" outlineLevel="0" max="14" min="12" style="0" width="7"/>
    <col collapsed="false" customWidth="true" hidden="false" outlineLevel="0" max="15" min="15" style="0" width="6"/>
    <col collapsed="false" customWidth="true" hidden="false" outlineLevel="0" max="17" min="16" style="0" width="8"/>
  </cols>
  <sheetData>
    <row r="1" customFormat="false" ht="23.85" hidden="false" customHeight="false" outlineLevel="0" collapsed="false">
      <c r="A1" s="17" t="s">
        <v>62</v>
      </c>
      <c r="B1" s="17" t="s">
        <v>63</v>
      </c>
      <c r="C1" s="17" t="s">
        <v>476</v>
      </c>
      <c r="D1" s="17" t="s">
        <v>477</v>
      </c>
      <c r="E1" s="17" t="s">
        <v>478</v>
      </c>
      <c r="F1" s="17" t="s">
        <v>479</v>
      </c>
      <c r="G1" s="17" t="s">
        <v>480</v>
      </c>
      <c r="H1" s="17" t="s">
        <v>481</v>
      </c>
      <c r="I1" s="17" t="s">
        <v>473</v>
      </c>
      <c r="J1" s="17" t="s">
        <v>482</v>
      </c>
      <c r="K1" s="17" t="s">
        <v>474</v>
      </c>
      <c r="L1" s="17" t="s">
        <v>483</v>
      </c>
      <c r="M1" s="17" t="s">
        <v>484</v>
      </c>
      <c r="N1" s="17" t="s">
        <v>485</v>
      </c>
      <c r="O1" s="17" t="s">
        <v>486</v>
      </c>
      <c r="P1" s="17" t="s">
        <v>487</v>
      </c>
      <c r="Q1" s="17" t="s">
        <v>488</v>
      </c>
    </row>
    <row r="2" customFormat="false" ht="15" hidden="false" customHeight="false" outlineLevel="0" collapsed="false">
      <c r="A2" s="18" t="n">
        <v>1</v>
      </c>
      <c r="B2" s="18" t="s">
        <v>489</v>
      </c>
      <c r="C2" s="18" t="s">
        <v>490</v>
      </c>
      <c r="D2" s="18" t="s">
        <v>491</v>
      </c>
      <c r="E2" s="18" t="n">
        <v>0</v>
      </c>
      <c r="F2" s="18" t="n">
        <v>0</v>
      </c>
      <c r="G2" s="20" t="n">
        <v>-0.0409</v>
      </c>
      <c r="H2" s="20" t="n">
        <v>0.0227</v>
      </c>
      <c r="I2" s="28" t="n">
        <v>182.2</v>
      </c>
      <c r="J2" s="28" t="n">
        <v>523.4</v>
      </c>
      <c r="K2" s="28" t="n">
        <v>63.9</v>
      </c>
      <c r="L2" s="18"/>
      <c r="M2" s="19" t="n">
        <v>0.526</v>
      </c>
      <c r="N2" s="28" t="n">
        <v>10.95</v>
      </c>
      <c r="O2" s="18" t="n">
        <v>24</v>
      </c>
      <c r="P2" s="18" t="n">
        <v>-1.25</v>
      </c>
      <c r="Q2" s="18" t="n">
        <v>-0.93</v>
      </c>
    </row>
    <row r="3" customFormat="false" ht="15" hidden="false" customHeight="false" outlineLevel="0" collapsed="false">
      <c r="A3" s="18" t="n">
        <v>1</v>
      </c>
      <c r="B3" s="18" t="s">
        <v>489</v>
      </c>
      <c r="C3" s="18" t="s">
        <v>490</v>
      </c>
      <c r="D3" s="18" t="s">
        <v>492</v>
      </c>
      <c r="E3" s="18" t="n">
        <v>1</v>
      </c>
      <c r="F3" s="18" t="n">
        <v>0</v>
      </c>
      <c r="G3" s="20" t="n">
        <v>-0.0811</v>
      </c>
      <c r="H3" s="20" t="n">
        <v>0.0231</v>
      </c>
      <c r="I3" s="28" t="n">
        <v>165.5</v>
      </c>
      <c r="J3" s="28" t="n">
        <v>628.5</v>
      </c>
      <c r="K3" s="28" t="n">
        <v>68.2</v>
      </c>
      <c r="L3" s="18"/>
      <c r="M3" s="19" t="n">
        <v>0.767</v>
      </c>
      <c r="N3" s="28" t="n">
        <v>11.28</v>
      </c>
      <c r="O3" s="18" t="n">
        <v>24</v>
      </c>
      <c r="P3" s="18" t="n">
        <v>-1.25</v>
      </c>
      <c r="Q3" s="18" t="n">
        <v>-0.93</v>
      </c>
    </row>
    <row r="4" customFormat="false" ht="15" hidden="false" customHeight="false" outlineLevel="0" collapsed="false">
      <c r="A4" s="18" t="n">
        <v>1</v>
      </c>
      <c r="B4" s="18" t="s">
        <v>493</v>
      </c>
      <c r="C4" s="18" t="s">
        <v>490</v>
      </c>
      <c r="D4" s="18" t="s">
        <v>494</v>
      </c>
      <c r="E4" s="18" t="n">
        <v>0</v>
      </c>
      <c r="F4" s="18" t="n">
        <v>1</v>
      </c>
      <c r="G4" s="20" t="n">
        <v>0.0351</v>
      </c>
      <c r="H4" s="20" t="n">
        <v>0.0209</v>
      </c>
      <c r="I4" s="28" t="n">
        <v>184.4</v>
      </c>
      <c r="J4" s="28" t="n">
        <v>538.3</v>
      </c>
      <c r="K4" s="28" t="n">
        <v>70.3</v>
      </c>
      <c r="L4" s="29" t="n">
        <v>1.854</v>
      </c>
      <c r="M4" s="19" t="n">
        <v>0.889</v>
      </c>
      <c r="N4" s="28" t="n">
        <v>14.2</v>
      </c>
      <c r="O4" s="18" t="n">
        <v>25</v>
      </c>
      <c r="P4" s="18" t="n">
        <v>-1.25</v>
      </c>
      <c r="Q4" s="18" t="n">
        <v>-0.93</v>
      </c>
    </row>
    <row r="5" customFormat="false" ht="15" hidden="false" customHeight="false" outlineLevel="0" collapsed="false">
      <c r="A5" s="18" t="n">
        <v>1</v>
      </c>
      <c r="B5" s="18" t="s">
        <v>493</v>
      </c>
      <c r="C5" s="18" t="s">
        <v>490</v>
      </c>
      <c r="D5" s="18" t="s">
        <v>495</v>
      </c>
      <c r="E5" s="18" t="n">
        <v>1</v>
      </c>
      <c r="F5" s="18" t="n">
        <v>1</v>
      </c>
      <c r="G5" s="20" t="n">
        <v>-0.0116</v>
      </c>
      <c r="H5" s="20" t="n">
        <v>0.0254</v>
      </c>
      <c r="I5" s="28" t="n">
        <v>210.7</v>
      </c>
      <c r="J5" s="28" t="n">
        <v>643.3</v>
      </c>
      <c r="K5" s="28" t="n">
        <v>89.4</v>
      </c>
      <c r="L5" s="29" t="n">
        <v>5.1</v>
      </c>
      <c r="M5" s="19" t="n">
        <v>0.716</v>
      </c>
      <c r="N5" s="28" t="n">
        <v>15.56</v>
      </c>
      <c r="O5" s="18" t="n">
        <v>25</v>
      </c>
      <c r="P5" s="18" t="n">
        <v>-1.25</v>
      </c>
      <c r="Q5" s="18" t="n">
        <v>-0.93</v>
      </c>
    </row>
    <row r="6" customFormat="false" ht="15" hidden="false" customHeight="false" outlineLevel="0" collapsed="false">
      <c r="A6" s="18" t="n">
        <v>2</v>
      </c>
      <c r="B6" s="18" t="s">
        <v>496</v>
      </c>
      <c r="C6" s="18" t="s">
        <v>497</v>
      </c>
      <c r="D6" s="18" t="s">
        <v>491</v>
      </c>
      <c r="E6" s="18" t="n">
        <v>0</v>
      </c>
      <c r="F6" s="18" t="n">
        <v>0</v>
      </c>
      <c r="G6" s="20" t="n">
        <v>-0.0268</v>
      </c>
      <c r="H6" s="20" t="n">
        <v>0.0239</v>
      </c>
      <c r="I6" s="28" t="n">
        <v>167.8</v>
      </c>
      <c r="J6" s="28" t="n">
        <v>536.2</v>
      </c>
      <c r="K6" s="28" t="n">
        <v>137.5</v>
      </c>
      <c r="L6" s="18"/>
      <c r="M6" s="19" t="n">
        <v>1.16</v>
      </c>
      <c r="N6" s="28" t="n">
        <v>11.59</v>
      </c>
      <c r="O6" s="18" t="n">
        <v>34</v>
      </c>
      <c r="P6" s="18" t="n">
        <v>-1.25</v>
      </c>
      <c r="Q6" s="18" t="n">
        <v>-0.93</v>
      </c>
    </row>
    <row r="7" customFormat="false" ht="15" hidden="false" customHeight="false" outlineLevel="0" collapsed="false">
      <c r="A7" s="18" t="n">
        <v>2</v>
      </c>
      <c r="B7" s="18" t="s">
        <v>496</v>
      </c>
      <c r="C7" s="18" t="s">
        <v>497</v>
      </c>
      <c r="D7" s="18" t="s">
        <v>492</v>
      </c>
      <c r="E7" s="18" t="n">
        <v>1</v>
      </c>
      <c r="F7" s="18" t="n">
        <v>0</v>
      </c>
      <c r="G7" s="20" t="n">
        <v>-0.0319</v>
      </c>
      <c r="H7" s="20" t="n">
        <v>0.0135</v>
      </c>
      <c r="I7" s="28" t="n">
        <v>175.5</v>
      </c>
      <c r="J7" s="28" t="n">
        <v>640</v>
      </c>
      <c r="K7" s="28" t="n">
        <v>151.3</v>
      </c>
      <c r="L7" s="29" t="n">
        <v>5.009</v>
      </c>
      <c r="M7" s="19" t="n">
        <v>1.098</v>
      </c>
      <c r="N7" s="28" t="n">
        <v>9.54</v>
      </c>
      <c r="O7" s="18" t="n">
        <v>34</v>
      </c>
      <c r="P7" s="18" t="n">
        <v>-1.25</v>
      </c>
      <c r="Q7" s="18" t="n">
        <v>-0.93</v>
      </c>
    </row>
    <row r="8" customFormat="false" ht="15" hidden="false" customHeight="false" outlineLevel="0" collapsed="false">
      <c r="A8" s="18" t="n">
        <v>2</v>
      </c>
      <c r="B8" s="18" t="s">
        <v>498</v>
      </c>
      <c r="C8" s="18" t="s">
        <v>497</v>
      </c>
      <c r="D8" s="18" t="s">
        <v>494</v>
      </c>
      <c r="E8" s="18" t="n">
        <v>0</v>
      </c>
      <c r="F8" s="18" t="n">
        <v>1</v>
      </c>
      <c r="G8" s="20" t="n">
        <v>0.0639</v>
      </c>
      <c r="H8" s="20" t="n">
        <v>0.0173</v>
      </c>
      <c r="I8" s="28" t="n">
        <v>220.4</v>
      </c>
      <c r="J8" s="28" t="n">
        <v>536.5</v>
      </c>
      <c r="K8" s="28" t="n">
        <v>135.5</v>
      </c>
      <c r="L8" s="18"/>
      <c r="M8" s="19" t="n">
        <v>0.83</v>
      </c>
      <c r="N8" s="28" t="n">
        <v>14.22</v>
      </c>
      <c r="O8" s="18" t="n">
        <v>34</v>
      </c>
      <c r="P8" s="18" t="n">
        <v>-1.25</v>
      </c>
      <c r="Q8" s="18" t="n">
        <v>-0.93</v>
      </c>
    </row>
    <row r="9" customFormat="false" ht="15" hidden="false" customHeight="false" outlineLevel="0" collapsed="false">
      <c r="A9" s="18" t="n">
        <v>2</v>
      </c>
      <c r="B9" s="18" t="s">
        <v>498</v>
      </c>
      <c r="C9" s="18" t="s">
        <v>497</v>
      </c>
      <c r="D9" s="18" t="s">
        <v>495</v>
      </c>
      <c r="E9" s="18" t="n">
        <v>1</v>
      </c>
      <c r="F9" s="18" t="n">
        <v>1</v>
      </c>
      <c r="G9" s="20" t="n">
        <v>0.009</v>
      </c>
      <c r="H9" s="20" t="n">
        <v>0.0115</v>
      </c>
      <c r="I9" s="28" t="n">
        <v>216</v>
      </c>
      <c r="J9" s="28" t="n">
        <v>641.4</v>
      </c>
      <c r="K9" s="28" t="n">
        <v>134</v>
      </c>
      <c r="L9" s="18"/>
      <c r="M9" s="19" t="n">
        <v>0.951</v>
      </c>
      <c r="N9" s="28" t="n">
        <v>10.87</v>
      </c>
      <c r="O9" s="18" t="n">
        <v>34</v>
      </c>
      <c r="P9" s="18" t="n">
        <v>-1.25</v>
      </c>
      <c r="Q9" s="18" t="n">
        <v>-0.93</v>
      </c>
    </row>
    <row r="10" customFormat="false" ht="15" hidden="false" customHeight="false" outlineLevel="0" collapsed="false">
      <c r="A10" s="18" t="n">
        <v>3</v>
      </c>
      <c r="B10" s="18" t="s">
        <v>499</v>
      </c>
      <c r="C10" s="18" t="s">
        <v>500</v>
      </c>
      <c r="D10" s="18" t="s">
        <v>491</v>
      </c>
      <c r="E10" s="18" t="n">
        <v>0</v>
      </c>
      <c r="F10" s="18" t="n">
        <v>0</v>
      </c>
      <c r="G10" s="20" t="n">
        <v>-0.047</v>
      </c>
      <c r="H10" s="20" t="n">
        <v>0.0106</v>
      </c>
      <c r="I10" s="28" t="n">
        <v>204.4</v>
      </c>
      <c r="J10" s="28" t="n">
        <v>535</v>
      </c>
      <c r="K10" s="28" t="n">
        <v>121.4</v>
      </c>
      <c r="L10" s="29" t="n">
        <v>0.276</v>
      </c>
      <c r="M10" s="19" t="n">
        <v>0.889</v>
      </c>
      <c r="N10" s="28" t="n">
        <v>7.94</v>
      </c>
      <c r="O10" s="18" t="n">
        <v>30</v>
      </c>
      <c r="P10" s="18" t="n">
        <v>-1.25</v>
      </c>
      <c r="Q10" s="18" t="n">
        <v>-0.93</v>
      </c>
    </row>
    <row r="11" customFormat="false" ht="15" hidden="false" customHeight="false" outlineLevel="0" collapsed="false">
      <c r="A11" s="18" t="n">
        <v>3</v>
      </c>
      <c r="B11" s="18" t="s">
        <v>499</v>
      </c>
      <c r="C11" s="18" t="s">
        <v>500</v>
      </c>
      <c r="D11" s="18" t="s">
        <v>492</v>
      </c>
      <c r="E11" s="18" t="n">
        <v>1</v>
      </c>
      <c r="F11" s="18" t="n">
        <v>0</v>
      </c>
      <c r="G11" s="20" t="n">
        <v>-0.0508</v>
      </c>
      <c r="H11" s="20" t="n">
        <v>0.0166</v>
      </c>
      <c r="I11" s="28" t="n">
        <v>176.3</v>
      </c>
      <c r="J11" s="28" t="n">
        <v>642.6</v>
      </c>
      <c r="K11" s="28" t="n">
        <v>119.1</v>
      </c>
      <c r="L11" s="18"/>
      <c r="M11" s="19" t="n">
        <v>0.931</v>
      </c>
      <c r="N11" s="28" t="n">
        <v>7.18</v>
      </c>
      <c r="O11" s="18" t="n">
        <v>30</v>
      </c>
      <c r="P11" s="18" t="n">
        <v>-1.25</v>
      </c>
      <c r="Q11" s="18" t="n">
        <v>-0.93</v>
      </c>
    </row>
    <row r="12" customFormat="false" ht="15" hidden="false" customHeight="false" outlineLevel="0" collapsed="false">
      <c r="A12" s="18" t="n">
        <v>3</v>
      </c>
      <c r="B12" s="18" t="s">
        <v>501</v>
      </c>
      <c r="C12" s="18" t="s">
        <v>500</v>
      </c>
      <c r="D12" s="18" t="s">
        <v>494</v>
      </c>
      <c r="E12" s="18" t="n">
        <v>0</v>
      </c>
      <c r="F12" s="18" t="n">
        <v>1</v>
      </c>
      <c r="G12" s="20" t="n">
        <v>0.0377</v>
      </c>
      <c r="H12" s="20" t="n">
        <v>0.0106</v>
      </c>
      <c r="I12" s="28" t="n">
        <v>198.8</v>
      </c>
      <c r="J12" s="28" t="n">
        <v>534.4</v>
      </c>
      <c r="K12" s="28" t="n">
        <v>135.2</v>
      </c>
      <c r="L12" s="29" t="n">
        <v>1.461</v>
      </c>
      <c r="M12" s="19" t="n">
        <v>0.905</v>
      </c>
      <c r="N12" s="28" t="n">
        <v>7.44</v>
      </c>
      <c r="O12" s="18" t="n">
        <v>33</v>
      </c>
      <c r="P12" s="18" t="n">
        <v>-1.25</v>
      </c>
      <c r="Q12" s="18" t="n">
        <v>-0.93</v>
      </c>
    </row>
    <row r="13" customFormat="false" ht="15" hidden="false" customHeight="false" outlineLevel="0" collapsed="false">
      <c r="A13" s="18" t="n">
        <v>3</v>
      </c>
      <c r="B13" s="18" t="s">
        <v>501</v>
      </c>
      <c r="C13" s="18" t="s">
        <v>500</v>
      </c>
      <c r="D13" s="18" t="s">
        <v>495</v>
      </c>
      <c r="E13" s="18" t="n">
        <v>1</v>
      </c>
      <c r="F13" s="18" t="n">
        <v>1</v>
      </c>
      <c r="G13" s="20" t="n">
        <v>0.0431</v>
      </c>
      <c r="H13" s="20" t="n">
        <v>0.0088</v>
      </c>
      <c r="I13" s="28" t="n">
        <v>186.3</v>
      </c>
      <c r="J13" s="28" t="n">
        <v>641.8</v>
      </c>
      <c r="K13" s="28" t="n">
        <v>137.8</v>
      </c>
      <c r="L13" s="29" t="n">
        <v>1.638</v>
      </c>
      <c r="M13" s="19" t="n">
        <v>1.063</v>
      </c>
      <c r="N13" s="28" t="n">
        <v>7.73</v>
      </c>
      <c r="O13" s="18" t="n">
        <v>33</v>
      </c>
      <c r="P13" s="18" t="n">
        <v>-1.25</v>
      </c>
      <c r="Q13" s="18" t="n">
        <v>-0.93</v>
      </c>
    </row>
    <row r="14" customFormat="false" ht="15" hidden="false" customHeight="false" outlineLevel="0" collapsed="false">
      <c r="A14" s="18" t="n">
        <v>4</v>
      </c>
      <c r="B14" s="18" t="s">
        <v>502</v>
      </c>
      <c r="C14" s="18" t="s">
        <v>503</v>
      </c>
      <c r="D14" s="18" t="s">
        <v>491</v>
      </c>
      <c r="E14" s="18" t="n">
        <v>0</v>
      </c>
      <c r="F14" s="18" t="n">
        <v>0</v>
      </c>
      <c r="G14" s="20" t="n">
        <v>-0.0659</v>
      </c>
      <c r="H14" s="20" t="n">
        <v>0.0154</v>
      </c>
      <c r="I14" s="28" t="n">
        <v>217.7</v>
      </c>
      <c r="J14" s="28" t="n">
        <v>887.2</v>
      </c>
      <c r="K14" s="28" t="n">
        <v>109.5</v>
      </c>
      <c r="L14" s="18"/>
      <c r="M14" s="19" t="n">
        <v>0.825</v>
      </c>
      <c r="N14" s="28" t="n">
        <v>10.76</v>
      </c>
      <c r="O14" s="18" t="n">
        <v>27</v>
      </c>
      <c r="P14" s="18" t="n">
        <v>-1.5</v>
      </c>
      <c r="Q14" s="18" t="n">
        <v>-0.93</v>
      </c>
    </row>
    <row r="15" customFormat="false" ht="15" hidden="false" customHeight="false" outlineLevel="0" collapsed="false">
      <c r="A15" s="18" t="n">
        <v>4</v>
      </c>
      <c r="B15" s="18" t="s">
        <v>502</v>
      </c>
      <c r="C15" s="18" t="s">
        <v>503</v>
      </c>
      <c r="D15" s="18" t="s">
        <v>492</v>
      </c>
      <c r="E15" s="18" t="n">
        <v>1</v>
      </c>
      <c r="F15" s="18" t="n">
        <v>0</v>
      </c>
      <c r="G15" s="20" t="n">
        <v>-0.0623</v>
      </c>
      <c r="H15" s="20" t="n">
        <v>0.0136</v>
      </c>
      <c r="I15" s="28" t="n">
        <v>188.3</v>
      </c>
      <c r="J15" s="28" t="n">
        <v>1000.4</v>
      </c>
      <c r="K15" s="28" t="n">
        <v>95.6</v>
      </c>
      <c r="L15" s="29" t="n">
        <v>1.278</v>
      </c>
      <c r="M15" s="19" t="n">
        <v>3.297</v>
      </c>
      <c r="N15" s="28" t="n">
        <v>9.81</v>
      </c>
      <c r="O15" s="18" t="n">
        <v>27</v>
      </c>
      <c r="P15" s="18" t="n">
        <v>-1.5</v>
      </c>
      <c r="Q15" s="18" t="n">
        <v>-0.93</v>
      </c>
    </row>
    <row r="16" customFormat="false" ht="15" hidden="false" customHeight="false" outlineLevel="0" collapsed="false">
      <c r="A16" s="18" t="n">
        <v>4</v>
      </c>
      <c r="B16" s="18" t="s">
        <v>504</v>
      </c>
      <c r="C16" s="18" t="s">
        <v>503</v>
      </c>
      <c r="D16" s="18" t="s">
        <v>494</v>
      </c>
      <c r="E16" s="18" t="n">
        <v>0</v>
      </c>
      <c r="F16" s="18" t="n">
        <v>1</v>
      </c>
      <c r="G16" s="20" t="n">
        <v>0.0544</v>
      </c>
      <c r="H16" s="20" t="n">
        <v>0.0319</v>
      </c>
      <c r="I16" s="28" t="n">
        <v>184.4</v>
      </c>
      <c r="J16" s="28" t="n">
        <v>888.1</v>
      </c>
      <c r="K16" s="28" t="n">
        <v>83.5</v>
      </c>
      <c r="L16" s="18"/>
      <c r="M16" s="19" t="n">
        <v>0.573</v>
      </c>
      <c r="N16" s="28" t="n">
        <v>9.24</v>
      </c>
      <c r="O16" s="18" t="n">
        <v>23</v>
      </c>
      <c r="P16" s="18" t="n">
        <v>-1.5</v>
      </c>
      <c r="Q16" s="18" t="n">
        <v>-0.93</v>
      </c>
    </row>
    <row r="17" customFormat="false" ht="15" hidden="false" customHeight="false" outlineLevel="0" collapsed="false">
      <c r="A17" s="18" t="n">
        <v>4</v>
      </c>
      <c r="B17" s="18" t="s">
        <v>504</v>
      </c>
      <c r="C17" s="18" t="s">
        <v>503</v>
      </c>
      <c r="D17" s="18" t="s">
        <v>495</v>
      </c>
      <c r="E17" s="18" t="n">
        <v>1</v>
      </c>
      <c r="F17" s="18" t="n">
        <v>1</v>
      </c>
      <c r="G17" s="20" t="n">
        <v>0.0474</v>
      </c>
      <c r="H17" s="20" t="n">
        <v>0.0246</v>
      </c>
      <c r="I17" s="28" t="n">
        <v>190.6</v>
      </c>
      <c r="J17" s="28" t="n">
        <v>1000.7</v>
      </c>
      <c r="K17" s="28" t="n">
        <v>84.6</v>
      </c>
      <c r="L17" s="18"/>
      <c r="M17" s="19" t="n">
        <v>0.513</v>
      </c>
      <c r="N17" s="28" t="n">
        <v>12.81</v>
      </c>
      <c r="O17" s="18" t="n">
        <v>23</v>
      </c>
      <c r="P17" s="18" t="n">
        <v>-1.5</v>
      </c>
      <c r="Q17" s="18" t="n">
        <v>-0.93</v>
      </c>
    </row>
    <row r="18" customFormat="false" ht="15" hidden="false" customHeight="false" outlineLevel="0" collapsed="false">
      <c r="A18" s="18" t="n">
        <v>5</v>
      </c>
      <c r="B18" s="18" t="s">
        <v>505</v>
      </c>
      <c r="C18" s="18" t="s">
        <v>506</v>
      </c>
      <c r="D18" s="18" t="s">
        <v>491</v>
      </c>
      <c r="E18" s="18" t="n">
        <v>0</v>
      </c>
      <c r="F18" s="18" t="n">
        <v>0</v>
      </c>
      <c r="G18" s="20" t="n">
        <v>-0.0513</v>
      </c>
      <c r="H18" s="20" t="n">
        <v>0.0315</v>
      </c>
      <c r="I18" s="28" t="n">
        <v>215.1</v>
      </c>
      <c r="J18" s="28" t="n">
        <v>882.6</v>
      </c>
      <c r="K18" s="28" t="n">
        <v>174.1</v>
      </c>
      <c r="L18" s="29" t="n">
        <v>2.527</v>
      </c>
      <c r="M18" s="19" t="n">
        <v>0.846</v>
      </c>
      <c r="N18" s="28" t="n">
        <v>13.17</v>
      </c>
      <c r="O18" s="18" t="n">
        <v>34</v>
      </c>
      <c r="P18" s="18" t="n">
        <v>-1.5</v>
      </c>
      <c r="Q18" s="18" t="n">
        <v>-0.93</v>
      </c>
    </row>
    <row r="19" customFormat="false" ht="15" hidden="false" customHeight="false" outlineLevel="0" collapsed="false">
      <c r="A19" s="18" t="n">
        <v>5</v>
      </c>
      <c r="B19" s="18" t="s">
        <v>505</v>
      </c>
      <c r="C19" s="18" t="s">
        <v>506</v>
      </c>
      <c r="D19" s="18" t="s">
        <v>492</v>
      </c>
      <c r="E19" s="18" t="n">
        <v>1</v>
      </c>
      <c r="F19" s="18" t="n">
        <v>0</v>
      </c>
      <c r="G19" s="20" t="n">
        <v>-0.0471</v>
      </c>
      <c r="H19" s="20" t="n">
        <v>0.012</v>
      </c>
      <c r="I19" s="28" t="n">
        <v>216.9</v>
      </c>
      <c r="J19" s="28" t="n">
        <v>997.2</v>
      </c>
      <c r="K19" s="28" t="n">
        <v>161.1</v>
      </c>
      <c r="L19" s="29" t="n">
        <v>0.318</v>
      </c>
      <c r="M19" s="19" t="n">
        <v>1.721</v>
      </c>
      <c r="N19" s="28" t="n">
        <v>11.47</v>
      </c>
      <c r="O19" s="18" t="n">
        <v>34</v>
      </c>
      <c r="P19" s="18" t="n">
        <v>-1.5</v>
      </c>
      <c r="Q19" s="18" t="n">
        <v>-0.93</v>
      </c>
    </row>
    <row r="20" customFormat="false" ht="15" hidden="false" customHeight="false" outlineLevel="0" collapsed="false">
      <c r="A20" s="18" t="n">
        <v>5</v>
      </c>
      <c r="B20" s="18" t="s">
        <v>507</v>
      </c>
      <c r="C20" s="18" t="s">
        <v>506</v>
      </c>
      <c r="D20" s="18" t="s">
        <v>494</v>
      </c>
      <c r="E20" s="18" t="n">
        <v>0</v>
      </c>
      <c r="F20" s="18" t="n">
        <v>1</v>
      </c>
      <c r="G20" s="20" t="n">
        <v>0.0503</v>
      </c>
      <c r="H20" s="20" t="n">
        <v>0.0204</v>
      </c>
      <c r="I20" s="28" t="n">
        <v>187.9</v>
      </c>
      <c r="J20" s="28" t="n">
        <v>885</v>
      </c>
      <c r="K20" s="28" t="n">
        <v>134.3</v>
      </c>
      <c r="L20" s="18"/>
      <c r="M20" s="19" t="n">
        <v>9.044</v>
      </c>
      <c r="N20" s="28" t="n">
        <v>12.1</v>
      </c>
      <c r="O20" s="18" t="n">
        <v>33</v>
      </c>
      <c r="P20" s="18" t="n">
        <v>-1.5</v>
      </c>
      <c r="Q20" s="18" t="n">
        <v>-0.93</v>
      </c>
    </row>
    <row r="21" customFormat="false" ht="15" hidden="false" customHeight="false" outlineLevel="0" collapsed="false">
      <c r="A21" s="18" t="n">
        <v>5</v>
      </c>
      <c r="B21" s="18" t="s">
        <v>507</v>
      </c>
      <c r="C21" s="18" t="s">
        <v>506</v>
      </c>
      <c r="D21" s="18" t="s">
        <v>495</v>
      </c>
      <c r="E21" s="18" t="n">
        <v>1</v>
      </c>
      <c r="F21" s="18" t="n">
        <v>1</v>
      </c>
      <c r="G21" s="20" t="n">
        <v>0.072</v>
      </c>
      <c r="H21" s="20" t="n">
        <v>0.0139</v>
      </c>
      <c r="I21" s="28" t="n">
        <v>204.9</v>
      </c>
      <c r="J21" s="28" t="n">
        <v>991</v>
      </c>
      <c r="K21" s="28" t="n">
        <v>139.4</v>
      </c>
      <c r="L21" s="29" t="n">
        <v>3.75</v>
      </c>
      <c r="M21" s="19" t="n">
        <v>0.968</v>
      </c>
      <c r="N21" s="28" t="n">
        <v>13.1</v>
      </c>
      <c r="O21" s="18" t="n">
        <v>33</v>
      </c>
      <c r="P21" s="18" t="n">
        <v>-1.5</v>
      </c>
      <c r="Q21" s="18" t="n">
        <v>-0.93</v>
      </c>
    </row>
    <row r="22" customFormat="false" ht="15" hidden="false" customHeight="false" outlineLevel="0" collapsed="false">
      <c r="A22" s="18" t="n">
        <v>6</v>
      </c>
      <c r="B22" s="18" t="s">
        <v>508</v>
      </c>
      <c r="C22" s="18" t="s">
        <v>509</v>
      </c>
      <c r="D22" s="18" t="s">
        <v>491</v>
      </c>
      <c r="E22" s="18" t="n">
        <v>0</v>
      </c>
      <c r="F22" s="18" t="n">
        <v>0</v>
      </c>
      <c r="G22" s="20" t="n">
        <v>-0.024</v>
      </c>
      <c r="H22" s="20" t="n">
        <v>0.0131</v>
      </c>
      <c r="I22" s="28" t="n">
        <v>174.9</v>
      </c>
      <c r="J22" s="28" t="n">
        <v>388.6</v>
      </c>
      <c r="K22" s="28" t="n">
        <v>92.4</v>
      </c>
      <c r="L22" s="29" t="n">
        <v>2.398</v>
      </c>
      <c r="M22" s="19" t="n">
        <v>1.259</v>
      </c>
      <c r="N22" s="28" t="n">
        <v>11.28</v>
      </c>
      <c r="O22" s="18" t="n">
        <v>25</v>
      </c>
      <c r="P22" s="18" t="n">
        <v>-1.25</v>
      </c>
      <c r="Q22" s="18" t="n">
        <v>-1.13</v>
      </c>
    </row>
    <row r="23" customFormat="false" ht="15" hidden="false" customHeight="false" outlineLevel="0" collapsed="false">
      <c r="A23" s="18" t="n">
        <v>6</v>
      </c>
      <c r="B23" s="18" t="s">
        <v>508</v>
      </c>
      <c r="C23" s="18" t="s">
        <v>509</v>
      </c>
      <c r="D23" s="18" t="s">
        <v>492</v>
      </c>
      <c r="E23" s="18" t="n">
        <v>1</v>
      </c>
      <c r="F23" s="18" t="n">
        <v>0</v>
      </c>
      <c r="G23" s="20" t="n">
        <v>-0.0348</v>
      </c>
      <c r="H23" s="20" t="n">
        <v>0.0146</v>
      </c>
      <c r="I23" s="28" t="n">
        <v>186.6</v>
      </c>
      <c r="J23" s="28" t="n">
        <v>492.8</v>
      </c>
      <c r="K23" s="28" t="n">
        <v>95.5</v>
      </c>
      <c r="L23" s="29" t="n">
        <v>1.398</v>
      </c>
      <c r="M23" s="19" t="n">
        <v>0.765</v>
      </c>
      <c r="N23" s="28" t="n">
        <v>10.44</v>
      </c>
      <c r="O23" s="18" t="n">
        <v>25</v>
      </c>
      <c r="P23" s="18" t="n">
        <v>-1.25</v>
      </c>
      <c r="Q23" s="18" t="n">
        <v>-1.13</v>
      </c>
    </row>
    <row r="24" customFormat="false" ht="15" hidden="false" customHeight="false" outlineLevel="0" collapsed="false">
      <c r="A24" s="18" t="n">
        <v>6</v>
      </c>
      <c r="B24" s="18" t="s">
        <v>510</v>
      </c>
      <c r="C24" s="18" t="s">
        <v>509</v>
      </c>
      <c r="D24" s="18" t="s">
        <v>494</v>
      </c>
      <c r="E24" s="18" t="n">
        <v>0</v>
      </c>
      <c r="F24" s="18" t="n">
        <v>1</v>
      </c>
      <c r="G24" s="20" t="n">
        <v>0.023</v>
      </c>
      <c r="H24" s="20" t="n">
        <v>0.0222</v>
      </c>
      <c r="I24" s="28" t="n">
        <v>217</v>
      </c>
      <c r="J24" s="28" t="n">
        <v>389.1</v>
      </c>
      <c r="K24" s="28" t="n">
        <v>63.9</v>
      </c>
      <c r="L24" s="29" t="n">
        <v>5.108</v>
      </c>
      <c r="M24" s="19" t="n">
        <v>1.146</v>
      </c>
      <c r="N24" s="28" t="n">
        <v>11.97</v>
      </c>
      <c r="O24" s="18" t="n">
        <v>21</v>
      </c>
      <c r="P24" s="18" t="n">
        <v>-1.25</v>
      </c>
      <c r="Q24" s="18" t="n">
        <v>-1.13</v>
      </c>
    </row>
    <row r="25" customFormat="false" ht="15" hidden="false" customHeight="false" outlineLevel="0" collapsed="false">
      <c r="A25" s="18" t="n">
        <v>6</v>
      </c>
      <c r="B25" s="18" t="s">
        <v>510</v>
      </c>
      <c r="C25" s="18" t="s">
        <v>509</v>
      </c>
      <c r="D25" s="18" t="s">
        <v>495</v>
      </c>
      <c r="E25" s="18" t="n">
        <v>1</v>
      </c>
      <c r="F25" s="18" t="n">
        <v>1</v>
      </c>
      <c r="G25" s="20" t="n">
        <v>-0.0105</v>
      </c>
      <c r="H25" s="20" t="n">
        <v>0.0194</v>
      </c>
      <c r="I25" s="28" t="n">
        <v>192</v>
      </c>
      <c r="J25" s="28" t="n">
        <v>496.3</v>
      </c>
      <c r="K25" s="28" t="n">
        <v>67</v>
      </c>
      <c r="L25" s="29" t="n">
        <v>4.317</v>
      </c>
      <c r="M25" s="19" t="n">
        <v>1.101</v>
      </c>
      <c r="N25" s="28" t="n">
        <v>12.58</v>
      </c>
      <c r="O25" s="18" t="n">
        <v>21</v>
      </c>
      <c r="P25" s="18" t="n">
        <v>-1.25</v>
      </c>
      <c r="Q25" s="18" t="n">
        <v>-1.13</v>
      </c>
    </row>
    <row r="26" customFormat="false" ht="15" hidden="false" customHeight="false" outlineLevel="0" collapsed="false">
      <c r="A26" s="18" t="n">
        <v>7</v>
      </c>
      <c r="B26" s="18" t="s">
        <v>511</v>
      </c>
      <c r="C26" s="18" t="s">
        <v>512</v>
      </c>
      <c r="D26" s="18" t="s">
        <v>491</v>
      </c>
      <c r="E26" s="18" t="n">
        <v>0</v>
      </c>
      <c r="F26" s="18" t="n">
        <v>0</v>
      </c>
      <c r="G26" s="20" t="n">
        <v>-0.0411</v>
      </c>
      <c r="H26" s="20" t="n">
        <v>0.0175</v>
      </c>
      <c r="I26" s="28" t="n">
        <v>193.4</v>
      </c>
      <c r="J26" s="28" t="n">
        <v>619.9</v>
      </c>
      <c r="K26" s="28" t="n">
        <v>74.1</v>
      </c>
      <c r="L26" s="18"/>
      <c r="M26" s="19" t="n">
        <v>0.392</v>
      </c>
      <c r="N26" s="28" t="n">
        <v>11.68</v>
      </c>
      <c r="O26" s="18" t="n">
        <v>24</v>
      </c>
      <c r="P26" s="18" t="n">
        <v>-1.25</v>
      </c>
      <c r="Q26" s="18" t="n">
        <v>-0.83</v>
      </c>
    </row>
    <row r="27" customFormat="false" ht="15" hidden="false" customHeight="false" outlineLevel="0" collapsed="false">
      <c r="A27" s="18" t="n">
        <v>7</v>
      </c>
      <c r="B27" s="18" t="s">
        <v>511</v>
      </c>
      <c r="C27" s="18" t="s">
        <v>512</v>
      </c>
      <c r="D27" s="18" t="s">
        <v>492</v>
      </c>
      <c r="E27" s="18" t="n">
        <v>1</v>
      </c>
      <c r="F27" s="18" t="n">
        <v>0</v>
      </c>
      <c r="G27" s="20" t="n">
        <v>-0.0437</v>
      </c>
      <c r="H27" s="20" t="n">
        <v>0.0128</v>
      </c>
      <c r="I27" s="28" t="n">
        <v>181.8</v>
      </c>
      <c r="J27" s="28" t="n">
        <v>729.3</v>
      </c>
      <c r="K27" s="28" t="n">
        <v>76</v>
      </c>
      <c r="L27" s="18"/>
      <c r="M27" s="19" t="n">
        <v>1.04</v>
      </c>
      <c r="N27" s="28" t="n">
        <v>8.16</v>
      </c>
      <c r="O27" s="18" t="n">
        <v>24</v>
      </c>
      <c r="P27" s="18" t="n">
        <v>-1.25</v>
      </c>
      <c r="Q27" s="18" t="n">
        <v>-0.83</v>
      </c>
    </row>
    <row r="28" customFormat="false" ht="15" hidden="false" customHeight="false" outlineLevel="0" collapsed="false">
      <c r="A28" s="18" t="n">
        <v>7</v>
      </c>
      <c r="B28" s="18" t="s">
        <v>513</v>
      </c>
      <c r="C28" s="18" t="s">
        <v>512</v>
      </c>
      <c r="D28" s="18" t="s">
        <v>494</v>
      </c>
      <c r="E28" s="18" t="n">
        <v>0</v>
      </c>
      <c r="F28" s="18" t="n">
        <v>1</v>
      </c>
      <c r="G28" s="20" t="n">
        <v>0.0466</v>
      </c>
      <c r="H28" s="20" t="n">
        <v>0.0248</v>
      </c>
      <c r="I28" s="28" t="n">
        <v>191</v>
      </c>
      <c r="J28" s="28" t="n">
        <v>617.8</v>
      </c>
      <c r="K28" s="28" t="n">
        <v>57.2</v>
      </c>
      <c r="L28" s="18"/>
      <c r="M28" s="19" t="n">
        <v>1.473</v>
      </c>
      <c r="N28" s="28" t="n">
        <v>10.4</v>
      </c>
      <c r="O28" s="18" t="n">
        <v>23</v>
      </c>
      <c r="P28" s="18" t="n">
        <v>-1.25</v>
      </c>
      <c r="Q28" s="18" t="n">
        <v>-0.83</v>
      </c>
    </row>
    <row r="29" customFormat="false" ht="15" hidden="false" customHeight="false" outlineLevel="0" collapsed="false">
      <c r="A29" s="18" t="n">
        <v>7</v>
      </c>
      <c r="B29" s="18" t="s">
        <v>513</v>
      </c>
      <c r="C29" s="18" t="s">
        <v>512</v>
      </c>
      <c r="D29" s="18" t="s">
        <v>495</v>
      </c>
      <c r="E29" s="18" t="n">
        <v>1</v>
      </c>
      <c r="F29" s="18" t="n">
        <v>1</v>
      </c>
      <c r="G29" s="20" t="n">
        <v>0.0188</v>
      </c>
      <c r="H29" s="20" t="n">
        <v>0.0307</v>
      </c>
      <c r="I29" s="28" t="n">
        <v>167.7</v>
      </c>
      <c r="J29" s="28" t="n">
        <v>731.5</v>
      </c>
      <c r="K29" s="28" t="n">
        <v>57.5</v>
      </c>
      <c r="L29" s="29" t="n">
        <v>0.881</v>
      </c>
      <c r="M29" s="19" t="n">
        <v>0.785</v>
      </c>
      <c r="N29" s="28" t="n">
        <v>12.54</v>
      </c>
      <c r="O29" s="18" t="n">
        <v>23</v>
      </c>
      <c r="P29" s="18" t="n">
        <v>-1.25</v>
      </c>
      <c r="Q29" s="18" t="n">
        <v>-0.83</v>
      </c>
    </row>
    <row r="30" customFormat="false" ht="15" hidden="false" customHeight="false" outlineLevel="0" collapsed="false">
      <c r="A30" s="18" t="n">
        <v>8</v>
      </c>
      <c r="B30" s="18" t="s">
        <v>514</v>
      </c>
      <c r="C30" s="18" t="s">
        <v>490</v>
      </c>
      <c r="D30" s="18" t="s">
        <v>491</v>
      </c>
      <c r="E30" s="18" t="n">
        <v>0</v>
      </c>
      <c r="F30" s="18" t="n">
        <v>0</v>
      </c>
      <c r="G30" s="20" t="n">
        <v>-0.0224</v>
      </c>
      <c r="H30" s="20" t="n">
        <v>0.0159</v>
      </c>
      <c r="I30" s="28" t="n">
        <v>190.1</v>
      </c>
      <c r="J30" s="28" t="n">
        <v>537.3</v>
      </c>
      <c r="K30" s="28" t="n">
        <v>52</v>
      </c>
      <c r="L30" s="29" t="n">
        <v>4.656</v>
      </c>
      <c r="M30" s="19" t="n">
        <v>0.868</v>
      </c>
      <c r="N30" s="28" t="n">
        <v>9.13</v>
      </c>
      <c r="O30" s="18" t="n">
        <v>21</v>
      </c>
      <c r="P30" s="18" t="n">
        <v>-1.25</v>
      </c>
      <c r="Q30" s="18" t="n">
        <v>-0.93</v>
      </c>
    </row>
    <row r="31" customFormat="false" ht="15" hidden="false" customHeight="false" outlineLevel="0" collapsed="false">
      <c r="A31" s="18" t="n">
        <v>8</v>
      </c>
      <c r="B31" s="18" t="s">
        <v>514</v>
      </c>
      <c r="C31" s="18" t="s">
        <v>490</v>
      </c>
      <c r="D31" s="18" t="s">
        <v>492</v>
      </c>
      <c r="E31" s="18" t="n">
        <v>1</v>
      </c>
      <c r="F31" s="18" t="n">
        <v>0</v>
      </c>
      <c r="G31" s="20" t="n">
        <v>-0.0505</v>
      </c>
      <c r="H31" s="20" t="n">
        <v>0.0229</v>
      </c>
      <c r="I31" s="28" t="n">
        <v>177</v>
      </c>
      <c r="J31" s="28" t="n">
        <v>643.4</v>
      </c>
      <c r="K31" s="28" t="n">
        <v>60.9</v>
      </c>
      <c r="L31" s="18"/>
      <c r="M31" s="19" t="n">
        <v>1.602</v>
      </c>
      <c r="N31" s="28" t="n">
        <v>11.08</v>
      </c>
      <c r="O31" s="18" t="n">
        <v>21</v>
      </c>
      <c r="P31" s="18" t="n">
        <v>-1.25</v>
      </c>
      <c r="Q31" s="18" t="n">
        <v>-0.93</v>
      </c>
    </row>
    <row r="32" customFormat="false" ht="15" hidden="false" customHeight="false" outlineLevel="0" collapsed="false">
      <c r="A32" s="18" t="n">
        <v>8</v>
      </c>
      <c r="B32" s="18" t="s">
        <v>515</v>
      </c>
      <c r="C32" s="18" t="s">
        <v>490</v>
      </c>
      <c r="D32" s="18" t="s">
        <v>494</v>
      </c>
      <c r="E32" s="18" t="n">
        <v>0</v>
      </c>
      <c r="F32" s="18" t="n">
        <v>1</v>
      </c>
      <c r="G32" s="20" t="n">
        <v>0.0543</v>
      </c>
      <c r="H32" s="20" t="n">
        <v>0.0201</v>
      </c>
      <c r="I32" s="28" t="n">
        <v>215</v>
      </c>
      <c r="J32" s="28" t="n">
        <v>532.3</v>
      </c>
      <c r="K32" s="28" t="n">
        <v>112.7</v>
      </c>
      <c r="L32" s="18"/>
      <c r="M32" s="19" t="n">
        <v>0.123</v>
      </c>
      <c r="N32" s="28" t="n">
        <v>11.27</v>
      </c>
      <c r="O32" s="18" t="n">
        <v>29</v>
      </c>
      <c r="P32" s="18" t="n">
        <v>-1.25</v>
      </c>
      <c r="Q32" s="18" t="n">
        <v>-0.93</v>
      </c>
    </row>
    <row r="33" customFormat="false" ht="15" hidden="false" customHeight="false" outlineLevel="0" collapsed="false">
      <c r="A33" s="18" t="n">
        <v>8</v>
      </c>
      <c r="B33" s="18" t="s">
        <v>515</v>
      </c>
      <c r="C33" s="18" t="s">
        <v>490</v>
      </c>
      <c r="D33" s="18" t="s">
        <v>495</v>
      </c>
      <c r="E33" s="18" t="n">
        <v>1</v>
      </c>
      <c r="F33" s="18" t="n">
        <v>1</v>
      </c>
      <c r="G33" s="20" t="n">
        <v>0.0382</v>
      </c>
      <c r="H33" s="20" t="n">
        <v>0.0459</v>
      </c>
      <c r="I33" s="28" t="n">
        <v>182.2</v>
      </c>
      <c r="J33" s="28" t="n">
        <v>646.7</v>
      </c>
      <c r="K33" s="28" t="n">
        <v>96</v>
      </c>
      <c r="L33" s="18"/>
      <c r="M33" s="19" t="n">
        <v>1.042</v>
      </c>
      <c r="N33" s="28" t="n">
        <v>12.26</v>
      </c>
      <c r="O33" s="18" t="n">
        <v>29</v>
      </c>
      <c r="P33" s="18" t="n">
        <v>-1.25</v>
      </c>
      <c r="Q33" s="18" t="n">
        <v>-0.93</v>
      </c>
    </row>
    <row r="34" customFormat="false" ht="15" hidden="false" customHeight="false" outlineLevel="0" collapsed="false">
      <c r="A34" s="18" t="n">
        <v>9</v>
      </c>
      <c r="B34" s="18" t="s">
        <v>516</v>
      </c>
      <c r="C34" s="18" t="s">
        <v>490</v>
      </c>
      <c r="D34" s="18" t="s">
        <v>491</v>
      </c>
      <c r="E34" s="18" t="n">
        <v>0</v>
      </c>
      <c r="F34" s="18" t="n">
        <v>0</v>
      </c>
      <c r="G34" s="20" t="n">
        <v>-0.0601</v>
      </c>
      <c r="H34" s="20" t="n">
        <v>0.0143</v>
      </c>
      <c r="I34" s="28" t="n">
        <v>185.8</v>
      </c>
      <c r="J34" s="28" t="n">
        <v>531.1</v>
      </c>
      <c r="K34" s="28" t="n">
        <v>76.2</v>
      </c>
      <c r="L34" s="18"/>
      <c r="M34" s="19" t="n">
        <v>1.007</v>
      </c>
      <c r="N34" s="28" t="n">
        <v>13.72</v>
      </c>
      <c r="O34" s="18" t="n">
        <v>26</v>
      </c>
      <c r="P34" s="18" t="n">
        <v>-1.25</v>
      </c>
      <c r="Q34" s="18" t="n">
        <v>-0.93</v>
      </c>
    </row>
    <row r="35" customFormat="false" ht="15" hidden="false" customHeight="false" outlineLevel="0" collapsed="false">
      <c r="A35" s="18" t="n">
        <v>9</v>
      </c>
      <c r="B35" s="18" t="s">
        <v>516</v>
      </c>
      <c r="C35" s="18" t="s">
        <v>490</v>
      </c>
      <c r="D35" s="18" t="s">
        <v>492</v>
      </c>
      <c r="E35" s="18" t="n">
        <v>1</v>
      </c>
      <c r="F35" s="18" t="n">
        <v>0</v>
      </c>
      <c r="G35" s="20" t="n">
        <v>-0.0448</v>
      </c>
      <c r="H35" s="20" t="n">
        <v>0.0122</v>
      </c>
      <c r="I35" s="28" t="n">
        <v>203.8</v>
      </c>
      <c r="J35" s="28" t="n">
        <v>636.7</v>
      </c>
      <c r="K35" s="28" t="n">
        <v>92</v>
      </c>
      <c r="L35" s="29" t="n">
        <v>4.875</v>
      </c>
      <c r="M35" s="19" t="n">
        <v>1.833</v>
      </c>
      <c r="N35" s="28" t="n">
        <v>10.09</v>
      </c>
      <c r="O35" s="18" t="n">
        <v>26</v>
      </c>
      <c r="P35" s="18" t="n">
        <v>-1.25</v>
      </c>
      <c r="Q35" s="18" t="n">
        <v>-0.93</v>
      </c>
    </row>
    <row r="36" customFormat="false" ht="15" hidden="false" customHeight="false" outlineLevel="0" collapsed="false">
      <c r="A36" s="18" t="n">
        <v>9</v>
      </c>
      <c r="B36" s="18" t="s">
        <v>517</v>
      </c>
      <c r="C36" s="18" t="s">
        <v>490</v>
      </c>
      <c r="D36" s="18" t="s">
        <v>494</v>
      </c>
      <c r="E36" s="18" t="n">
        <v>0</v>
      </c>
      <c r="F36" s="18" t="n">
        <v>1</v>
      </c>
      <c r="G36" s="20" t="n">
        <v>0.0433</v>
      </c>
      <c r="H36" s="20" t="n">
        <v>0.0116</v>
      </c>
      <c r="I36" s="28" t="n">
        <v>186</v>
      </c>
      <c r="J36" s="28" t="n">
        <v>531.6</v>
      </c>
      <c r="K36" s="28" t="n">
        <v>79</v>
      </c>
      <c r="L36" s="29" t="n">
        <v>3.955</v>
      </c>
      <c r="M36" s="19" t="n">
        <v>0.559</v>
      </c>
      <c r="N36" s="28" t="n">
        <v>11.41</v>
      </c>
      <c r="O36" s="18" t="n">
        <v>25</v>
      </c>
      <c r="P36" s="18" t="n">
        <v>-1.25</v>
      </c>
      <c r="Q36" s="18" t="n">
        <v>-0.93</v>
      </c>
    </row>
    <row r="37" customFormat="false" ht="15" hidden="false" customHeight="false" outlineLevel="0" collapsed="false">
      <c r="A37" s="18" t="n">
        <v>9</v>
      </c>
      <c r="B37" s="18" t="s">
        <v>517</v>
      </c>
      <c r="C37" s="18" t="s">
        <v>490</v>
      </c>
      <c r="D37" s="18" t="s">
        <v>495</v>
      </c>
      <c r="E37" s="18" t="n">
        <v>1</v>
      </c>
      <c r="F37" s="18" t="n">
        <v>1</v>
      </c>
      <c r="G37" s="20" t="n">
        <v>0.0282</v>
      </c>
      <c r="H37" s="20" t="n">
        <v>0.0136</v>
      </c>
      <c r="I37" s="28" t="n">
        <v>208.2</v>
      </c>
      <c r="J37" s="28" t="n">
        <v>636</v>
      </c>
      <c r="K37" s="28" t="n">
        <v>84.3</v>
      </c>
      <c r="L37" s="29" t="n">
        <v>4.079</v>
      </c>
      <c r="M37" s="19" t="n">
        <v>0.366</v>
      </c>
      <c r="N37" s="28" t="n">
        <v>12.1</v>
      </c>
      <c r="O37" s="18" t="n">
        <v>25</v>
      </c>
      <c r="P37" s="18" t="n">
        <v>-1.25</v>
      </c>
      <c r="Q37" s="18" t="n">
        <v>-0.93</v>
      </c>
    </row>
    <row r="38" customFormat="false" ht="15" hidden="false" customHeight="false" outlineLevel="0" collapsed="false">
      <c r="A38" s="18" t="n">
        <v>10</v>
      </c>
      <c r="B38" s="18" t="s">
        <v>518</v>
      </c>
      <c r="C38" s="18" t="s">
        <v>519</v>
      </c>
      <c r="D38" s="18" t="s">
        <v>491</v>
      </c>
      <c r="E38" s="18" t="n">
        <v>0</v>
      </c>
      <c r="F38" s="18" t="n">
        <v>0</v>
      </c>
      <c r="G38" s="20" t="n">
        <v>-0.0347</v>
      </c>
      <c r="H38" s="20" t="n">
        <v>0.0252</v>
      </c>
      <c r="I38" s="28" t="n">
        <v>146.4</v>
      </c>
      <c r="J38" s="28" t="n">
        <v>293.6</v>
      </c>
      <c r="K38" s="28" t="n">
        <v>62</v>
      </c>
      <c r="L38" s="18"/>
      <c r="M38" s="19" t="n">
        <v>2</v>
      </c>
      <c r="N38" s="28" t="n">
        <v>12.09</v>
      </c>
      <c r="O38" s="18" t="n">
        <v>26</v>
      </c>
      <c r="P38" s="18" t="n">
        <v>-1</v>
      </c>
      <c r="Q38" s="18" t="n">
        <v>-0.93</v>
      </c>
    </row>
    <row r="39" customFormat="false" ht="15" hidden="false" customHeight="false" outlineLevel="0" collapsed="false">
      <c r="A39" s="18" t="n">
        <v>10</v>
      </c>
      <c r="B39" s="18" t="s">
        <v>518</v>
      </c>
      <c r="C39" s="18" t="s">
        <v>519</v>
      </c>
      <c r="D39" s="18" t="s">
        <v>492</v>
      </c>
      <c r="E39" s="18" t="n">
        <v>1</v>
      </c>
      <c r="F39" s="18" t="n">
        <v>0</v>
      </c>
      <c r="G39" s="20" t="n">
        <v>-0.0264</v>
      </c>
      <c r="H39" s="20" t="n">
        <v>0.0198</v>
      </c>
      <c r="I39" s="28" t="n">
        <v>141.2</v>
      </c>
      <c r="J39" s="28" t="n">
        <v>395.2</v>
      </c>
      <c r="K39" s="28" t="n">
        <v>64.8</v>
      </c>
      <c r="L39" s="29" t="n">
        <v>0.623</v>
      </c>
      <c r="M39" s="19" t="n">
        <v>1.286</v>
      </c>
      <c r="N39" s="28" t="n">
        <v>9.12</v>
      </c>
      <c r="O39" s="18" t="n">
        <v>26</v>
      </c>
      <c r="P39" s="18" t="n">
        <v>-1</v>
      </c>
      <c r="Q39" s="18" t="n">
        <v>-0.93</v>
      </c>
    </row>
    <row r="40" customFormat="false" ht="15" hidden="false" customHeight="false" outlineLevel="0" collapsed="false">
      <c r="A40" s="18" t="n">
        <v>10</v>
      </c>
      <c r="B40" s="18" t="s">
        <v>520</v>
      </c>
      <c r="C40" s="18" t="s">
        <v>519</v>
      </c>
      <c r="D40" s="18" t="s">
        <v>494</v>
      </c>
      <c r="E40" s="18" t="n">
        <v>0</v>
      </c>
      <c r="F40" s="18" t="n">
        <v>1</v>
      </c>
      <c r="G40" s="20" t="n">
        <v>0.0042</v>
      </c>
      <c r="H40" s="20" t="n">
        <v>0.0144</v>
      </c>
      <c r="I40" s="28" t="n">
        <v>237.8</v>
      </c>
      <c r="J40" s="28" t="n">
        <v>286.3</v>
      </c>
      <c r="K40" s="28" t="n">
        <v>69.4</v>
      </c>
      <c r="L40" s="29" t="n">
        <v>1.427</v>
      </c>
      <c r="M40" s="19" t="n">
        <v>1.409</v>
      </c>
      <c r="N40" s="28" t="n">
        <v>14.19</v>
      </c>
      <c r="O40" s="18" t="n">
        <v>26</v>
      </c>
      <c r="P40" s="18" t="n">
        <v>-1</v>
      </c>
      <c r="Q40" s="18" t="n">
        <v>-0.93</v>
      </c>
    </row>
    <row r="41" customFormat="false" ht="15" hidden="false" customHeight="false" outlineLevel="0" collapsed="false">
      <c r="A41" s="18" t="n">
        <v>10</v>
      </c>
      <c r="B41" s="18" t="s">
        <v>520</v>
      </c>
      <c r="C41" s="18" t="s">
        <v>519</v>
      </c>
      <c r="D41" s="18" t="s">
        <v>495</v>
      </c>
      <c r="E41" s="18" t="n">
        <v>1</v>
      </c>
      <c r="F41" s="18" t="n">
        <v>1</v>
      </c>
      <c r="G41" s="20" t="n">
        <v>0.0121</v>
      </c>
      <c r="H41" s="20" t="n">
        <v>0.0129</v>
      </c>
      <c r="I41" s="28" t="n">
        <v>160.5</v>
      </c>
      <c r="J41" s="28" t="n">
        <v>396.2</v>
      </c>
      <c r="K41" s="28" t="n">
        <v>66.1</v>
      </c>
      <c r="L41" s="18"/>
      <c r="M41" s="19" t="n">
        <v>1.311</v>
      </c>
      <c r="N41" s="28" t="n">
        <v>10.06</v>
      </c>
      <c r="O41" s="18" t="n">
        <v>26</v>
      </c>
      <c r="P41" s="18" t="n">
        <v>-1</v>
      </c>
      <c r="Q41" s="18" t="n">
        <v>-0.93</v>
      </c>
    </row>
    <row r="42" customFormat="false" ht="15" hidden="false" customHeight="false" outlineLevel="0" collapsed="false">
      <c r="A42" s="18" t="n">
        <v>11</v>
      </c>
      <c r="B42" s="18" t="s">
        <v>521</v>
      </c>
      <c r="C42" s="18" t="s">
        <v>522</v>
      </c>
      <c r="D42" s="18" t="s">
        <v>491</v>
      </c>
      <c r="E42" s="18" t="n">
        <v>0</v>
      </c>
      <c r="F42" s="18" t="n">
        <v>0</v>
      </c>
      <c r="G42" s="20" t="n">
        <v>-0.0569</v>
      </c>
      <c r="H42" s="20" t="n">
        <v>0.0198</v>
      </c>
      <c r="I42" s="28" t="n">
        <v>204.2</v>
      </c>
      <c r="J42" s="28" t="n">
        <v>538.2</v>
      </c>
      <c r="K42" s="28" t="n">
        <v>186.5</v>
      </c>
      <c r="L42" s="18"/>
      <c r="M42" s="19" t="n">
        <v>1.353</v>
      </c>
      <c r="N42" s="28" t="n">
        <v>11.04</v>
      </c>
      <c r="O42" s="18" t="n">
        <v>40</v>
      </c>
      <c r="P42" s="18" t="n">
        <v>-1.25</v>
      </c>
      <c r="Q42" s="18" t="n">
        <v>-0.93</v>
      </c>
    </row>
    <row r="43" customFormat="false" ht="15" hidden="false" customHeight="false" outlineLevel="0" collapsed="false">
      <c r="A43" s="18" t="n">
        <v>11</v>
      </c>
      <c r="B43" s="18" t="s">
        <v>521</v>
      </c>
      <c r="C43" s="18" t="s">
        <v>522</v>
      </c>
      <c r="D43" s="18" t="s">
        <v>492</v>
      </c>
      <c r="E43" s="18" t="n">
        <v>1</v>
      </c>
      <c r="F43" s="18" t="n">
        <v>0</v>
      </c>
      <c r="G43" s="20" t="n">
        <v>-0.0286</v>
      </c>
      <c r="H43" s="20" t="n">
        <v>0.0124</v>
      </c>
      <c r="I43" s="28" t="n">
        <v>197.6</v>
      </c>
      <c r="J43" s="28" t="n">
        <v>643.3</v>
      </c>
      <c r="K43" s="28" t="n">
        <v>176.4</v>
      </c>
      <c r="L43" s="29" t="n">
        <v>1.441</v>
      </c>
      <c r="M43" s="19" t="n">
        <v>0.938</v>
      </c>
      <c r="N43" s="28" t="n">
        <v>9.87</v>
      </c>
      <c r="O43" s="18" t="n">
        <v>40</v>
      </c>
      <c r="P43" s="18" t="n">
        <v>-1.25</v>
      </c>
      <c r="Q43" s="18" t="n">
        <v>-0.93</v>
      </c>
    </row>
    <row r="44" customFormat="false" ht="15" hidden="false" customHeight="false" outlineLevel="0" collapsed="false">
      <c r="A44" s="18" t="n">
        <v>11</v>
      </c>
      <c r="B44" s="18" t="s">
        <v>523</v>
      </c>
      <c r="C44" s="18" t="s">
        <v>522</v>
      </c>
      <c r="D44" s="18" t="s">
        <v>494</v>
      </c>
      <c r="E44" s="18" t="n">
        <v>0</v>
      </c>
      <c r="F44" s="18" t="n">
        <v>1</v>
      </c>
      <c r="G44" s="20" t="n">
        <v>0.0438</v>
      </c>
      <c r="H44" s="20" t="n">
        <v>0.0213</v>
      </c>
      <c r="I44" s="28" t="n">
        <v>178.1</v>
      </c>
      <c r="J44" s="28" t="n">
        <v>538.1</v>
      </c>
      <c r="K44" s="28" t="n">
        <v>147.2</v>
      </c>
      <c r="L44" s="18"/>
      <c r="M44" s="19" t="n">
        <v>2.516</v>
      </c>
      <c r="N44" s="28" t="n">
        <v>10.9</v>
      </c>
      <c r="O44" s="18" t="n">
        <v>36</v>
      </c>
      <c r="P44" s="18" t="n">
        <v>-1.25</v>
      </c>
      <c r="Q44" s="18" t="n">
        <v>-0.93</v>
      </c>
    </row>
    <row r="45" customFormat="false" ht="15" hidden="false" customHeight="false" outlineLevel="0" collapsed="false">
      <c r="A45" s="18" t="n">
        <v>11</v>
      </c>
      <c r="B45" s="18" t="s">
        <v>523</v>
      </c>
      <c r="C45" s="18" t="s">
        <v>522</v>
      </c>
      <c r="D45" s="18" t="s">
        <v>495</v>
      </c>
      <c r="E45" s="18" t="n">
        <v>1</v>
      </c>
      <c r="F45" s="18" t="n">
        <v>1</v>
      </c>
      <c r="G45" s="20" t="n">
        <v>0.0408</v>
      </c>
      <c r="H45" s="20" t="n">
        <v>0.0184</v>
      </c>
      <c r="I45" s="28" t="n">
        <v>195.2</v>
      </c>
      <c r="J45" s="28" t="n">
        <v>641</v>
      </c>
      <c r="K45" s="28" t="n">
        <v>167.3</v>
      </c>
      <c r="L45" s="29" t="n">
        <v>1.896</v>
      </c>
      <c r="M45" s="19" t="n">
        <v>1.662</v>
      </c>
      <c r="N45" s="28" t="n">
        <v>8.72</v>
      </c>
      <c r="O45" s="18" t="n">
        <v>36</v>
      </c>
      <c r="P45" s="18" t="n">
        <v>-1.25</v>
      </c>
      <c r="Q45" s="18" t="n">
        <v>-0.93</v>
      </c>
    </row>
    <row r="46" customFormat="false" ht="15" hidden="false" customHeight="false" outlineLevel="0" collapsed="false">
      <c r="A46" s="18" t="n">
        <v>12</v>
      </c>
      <c r="B46" s="18" t="s">
        <v>524</v>
      </c>
      <c r="C46" s="18" t="s">
        <v>500</v>
      </c>
      <c r="D46" s="18" t="s">
        <v>491</v>
      </c>
      <c r="E46" s="18" t="n">
        <v>0</v>
      </c>
      <c r="F46" s="18" t="n">
        <v>0</v>
      </c>
      <c r="G46" s="20" t="n">
        <v>-0.0322</v>
      </c>
      <c r="H46" s="20" t="n">
        <v>0.0084</v>
      </c>
      <c r="I46" s="28" t="n">
        <v>188.8</v>
      </c>
      <c r="J46" s="28" t="n">
        <v>547.6</v>
      </c>
      <c r="K46" s="28" t="n">
        <v>169.7</v>
      </c>
      <c r="L46" s="29" t="n">
        <v>1.476</v>
      </c>
      <c r="M46" s="19" t="n">
        <v>1.001</v>
      </c>
      <c r="N46" s="28" t="n">
        <v>8.14</v>
      </c>
      <c r="O46" s="18" t="n">
        <v>32</v>
      </c>
      <c r="P46" s="18" t="n">
        <v>-1.25</v>
      </c>
      <c r="Q46" s="18" t="n">
        <v>-0.93</v>
      </c>
    </row>
    <row r="47" customFormat="false" ht="15" hidden="false" customHeight="false" outlineLevel="0" collapsed="false">
      <c r="A47" s="18" t="n">
        <v>12</v>
      </c>
      <c r="B47" s="18" t="s">
        <v>524</v>
      </c>
      <c r="C47" s="18" t="s">
        <v>500</v>
      </c>
      <c r="D47" s="18" t="s">
        <v>492</v>
      </c>
      <c r="E47" s="18" t="n">
        <v>1</v>
      </c>
      <c r="F47" s="18" t="n">
        <v>0</v>
      </c>
      <c r="G47" s="20" t="n">
        <v>-0.0389</v>
      </c>
      <c r="H47" s="20" t="n">
        <v>0.0111</v>
      </c>
      <c r="I47" s="28" t="n">
        <v>183</v>
      </c>
      <c r="J47" s="28" t="n">
        <v>654.7</v>
      </c>
      <c r="K47" s="28" t="n">
        <v>144.3</v>
      </c>
      <c r="L47" s="18"/>
      <c r="M47" s="19" t="n">
        <v>1.15</v>
      </c>
      <c r="N47" s="28" t="n">
        <v>8.63</v>
      </c>
      <c r="O47" s="18" t="n">
        <v>32</v>
      </c>
      <c r="P47" s="18" t="n">
        <v>-1.25</v>
      </c>
      <c r="Q47" s="18" t="n">
        <v>-0.93</v>
      </c>
    </row>
    <row r="48" customFormat="false" ht="15" hidden="false" customHeight="false" outlineLevel="0" collapsed="false">
      <c r="A48" s="18" t="n">
        <v>12</v>
      </c>
      <c r="B48" s="18" t="s">
        <v>525</v>
      </c>
      <c r="C48" s="18" t="s">
        <v>500</v>
      </c>
      <c r="D48" s="18" t="s">
        <v>494</v>
      </c>
      <c r="E48" s="18" t="n">
        <v>0</v>
      </c>
      <c r="F48" s="18" t="n">
        <v>1</v>
      </c>
      <c r="G48" s="20" t="n">
        <v>0.0369</v>
      </c>
      <c r="H48" s="20" t="n">
        <v>0.0126</v>
      </c>
      <c r="I48" s="28" t="n">
        <v>172.2</v>
      </c>
      <c r="J48" s="28" t="n">
        <v>547.4</v>
      </c>
      <c r="K48" s="28" t="n">
        <v>119.6</v>
      </c>
      <c r="L48" s="29" t="n">
        <v>2.628</v>
      </c>
      <c r="M48" s="19" t="n">
        <v>1.331</v>
      </c>
      <c r="N48" s="28" t="n">
        <v>8.86</v>
      </c>
      <c r="O48" s="18" t="n">
        <v>33</v>
      </c>
      <c r="P48" s="18" t="n">
        <v>-1.25</v>
      </c>
      <c r="Q48" s="18" t="n">
        <v>-0.93</v>
      </c>
    </row>
    <row r="49" customFormat="false" ht="15" hidden="false" customHeight="false" outlineLevel="0" collapsed="false">
      <c r="A49" s="18" t="n">
        <v>12</v>
      </c>
      <c r="B49" s="18" t="s">
        <v>525</v>
      </c>
      <c r="C49" s="18" t="s">
        <v>500</v>
      </c>
      <c r="D49" s="18" t="s">
        <v>495</v>
      </c>
      <c r="E49" s="18" t="n">
        <v>1</v>
      </c>
      <c r="F49" s="18" t="n">
        <v>1</v>
      </c>
      <c r="G49" s="20" t="n">
        <v>0.0212</v>
      </c>
      <c r="H49" s="20" t="n">
        <v>0.0112</v>
      </c>
      <c r="I49" s="28" t="n">
        <v>191</v>
      </c>
      <c r="J49" s="28" t="n">
        <v>653.7</v>
      </c>
      <c r="K49" s="28" t="n">
        <v>128.9</v>
      </c>
      <c r="L49" s="29" t="n">
        <v>2.329</v>
      </c>
      <c r="M49" s="19" t="n">
        <v>1.98</v>
      </c>
      <c r="N49" s="28" t="n">
        <v>8.03</v>
      </c>
      <c r="O49" s="18" t="n">
        <v>33</v>
      </c>
      <c r="P49" s="18" t="n">
        <v>-1.25</v>
      </c>
      <c r="Q49" s="18" t="n">
        <v>-0.93</v>
      </c>
    </row>
    <row r="50" customFormat="false" ht="15" hidden="false" customHeight="false" outlineLevel="0" collapsed="false">
      <c r="A50" s="18" t="n">
        <v>13</v>
      </c>
      <c r="B50" s="18" t="s">
        <v>526</v>
      </c>
      <c r="C50" s="18" t="s">
        <v>490</v>
      </c>
      <c r="D50" s="18" t="s">
        <v>491</v>
      </c>
      <c r="E50" s="18" t="n">
        <v>0</v>
      </c>
      <c r="F50" s="18" t="n">
        <v>0</v>
      </c>
      <c r="G50" s="20" t="n">
        <v>-0.0514</v>
      </c>
      <c r="H50" s="20" t="n">
        <v>0.0077</v>
      </c>
      <c r="I50" s="28" t="n">
        <v>181.5</v>
      </c>
      <c r="J50" s="28" t="n">
        <v>543.4</v>
      </c>
      <c r="K50" s="28" t="n">
        <v>60.9</v>
      </c>
      <c r="L50" s="29" t="n">
        <v>4.09</v>
      </c>
      <c r="M50" s="19" t="n">
        <v>1.139</v>
      </c>
      <c r="N50" s="28" t="n">
        <v>7.7</v>
      </c>
      <c r="O50" s="18" t="n">
        <v>24</v>
      </c>
      <c r="P50" s="18" t="n">
        <v>-1.25</v>
      </c>
      <c r="Q50" s="18" t="n">
        <v>-0.93</v>
      </c>
    </row>
    <row r="51" customFormat="false" ht="15" hidden="false" customHeight="false" outlineLevel="0" collapsed="false">
      <c r="A51" s="18" t="n">
        <v>13</v>
      </c>
      <c r="B51" s="18" t="s">
        <v>526</v>
      </c>
      <c r="C51" s="18" t="s">
        <v>490</v>
      </c>
      <c r="D51" s="18" t="s">
        <v>492</v>
      </c>
      <c r="E51" s="18" t="n">
        <v>1</v>
      </c>
      <c r="F51" s="18" t="n">
        <v>0</v>
      </c>
      <c r="G51" s="20" t="n">
        <v>-0.0512</v>
      </c>
      <c r="H51" s="20" t="n">
        <v>0.0134</v>
      </c>
      <c r="I51" s="28" t="n">
        <v>184.8</v>
      </c>
      <c r="J51" s="28" t="n">
        <v>649.8</v>
      </c>
      <c r="K51" s="28" t="n">
        <v>67.6</v>
      </c>
      <c r="L51" s="18"/>
      <c r="M51" s="19" t="n">
        <v>0.699</v>
      </c>
      <c r="N51" s="28" t="n">
        <v>5.95</v>
      </c>
      <c r="O51" s="18" t="n">
        <v>24</v>
      </c>
      <c r="P51" s="18" t="n">
        <v>-1.25</v>
      </c>
      <c r="Q51" s="18" t="n">
        <v>-0.93</v>
      </c>
    </row>
    <row r="52" customFormat="false" ht="15" hidden="false" customHeight="false" outlineLevel="0" collapsed="false">
      <c r="A52" s="18" t="n">
        <v>13</v>
      </c>
      <c r="B52" s="18" t="s">
        <v>527</v>
      </c>
      <c r="C52" s="18" t="s">
        <v>490</v>
      </c>
      <c r="D52" s="18" t="s">
        <v>494</v>
      </c>
      <c r="E52" s="18" t="n">
        <v>0</v>
      </c>
      <c r="F52" s="18" t="n">
        <v>1</v>
      </c>
      <c r="G52" s="20" t="n">
        <v>0.0414</v>
      </c>
      <c r="H52" s="20" t="n">
        <v>0.0067</v>
      </c>
      <c r="I52" s="28" t="n">
        <v>183.3</v>
      </c>
      <c r="J52" s="28" t="n">
        <v>542.2</v>
      </c>
      <c r="K52" s="28" t="n">
        <v>81.1</v>
      </c>
      <c r="L52" s="29" t="n">
        <v>3.586</v>
      </c>
      <c r="M52" s="19" t="n">
        <v>0.829</v>
      </c>
      <c r="N52" s="28" t="n">
        <v>5.47</v>
      </c>
      <c r="O52" s="18" t="n">
        <v>25</v>
      </c>
      <c r="P52" s="18" t="n">
        <v>-1.25</v>
      </c>
      <c r="Q52" s="18" t="n">
        <v>-0.93</v>
      </c>
    </row>
    <row r="53" customFormat="false" ht="15" hidden="false" customHeight="false" outlineLevel="0" collapsed="false">
      <c r="A53" s="18" t="n">
        <v>13</v>
      </c>
      <c r="B53" s="18" t="s">
        <v>527</v>
      </c>
      <c r="C53" s="18" t="s">
        <v>490</v>
      </c>
      <c r="D53" s="18" t="s">
        <v>495</v>
      </c>
      <c r="E53" s="18" t="n">
        <v>1</v>
      </c>
      <c r="F53" s="18" t="n">
        <v>1</v>
      </c>
      <c r="G53" s="20" t="n">
        <v>0.0253</v>
      </c>
      <c r="H53" s="20" t="n">
        <v>0.0074</v>
      </c>
      <c r="I53" s="28" t="n">
        <v>195.4</v>
      </c>
      <c r="J53" s="28" t="n">
        <v>651</v>
      </c>
      <c r="K53" s="28" t="n">
        <v>79.7</v>
      </c>
      <c r="L53" s="29" t="n">
        <v>3.349</v>
      </c>
      <c r="M53" s="19" t="n">
        <v>0.835</v>
      </c>
      <c r="N53" s="28" t="n">
        <v>6.45</v>
      </c>
      <c r="O53" s="18" t="n">
        <v>25</v>
      </c>
      <c r="P53" s="18" t="n">
        <v>-1.25</v>
      </c>
      <c r="Q53" s="18" t="n">
        <v>-0.93</v>
      </c>
    </row>
    <row r="54" customFormat="false" ht="15" hidden="false" customHeight="false" outlineLevel="0" collapsed="false">
      <c r="A54" s="18" t="n">
        <v>14</v>
      </c>
      <c r="B54" s="18" t="s">
        <v>528</v>
      </c>
      <c r="C54" s="18" t="s">
        <v>529</v>
      </c>
      <c r="D54" s="18" t="s">
        <v>491</v>
      </c>
      <c r="E54" s="18" t="n">
        <v>0</v>
      </c>
      <c r="F54" s="18" t="n">
        <v>0</v>
      </c>
      <c r="G54" s="20" t="n">
        <v>-0.0565</v>
      </c>
      <c r="H54" s="20" t="n">
        <v>0.0066</v>
      </c>
      <c r="I54" s="28" t="n">
        <v>185.3</v>
      </c>
      <c r="J54" s="28" t="n">
        <v>546.5</v>
      </c>
      <c r="K54" s="28" t="n">
        <v>68.5</v>
      </c>
      <c r="L54" s="29" t="n">
        <v>1.094</v>
      </c>
      <c r="M54" s="19" t="n">
        <v>0.949</v>
      </c>
      <c r="N54" s="28" t="n">
        <v>7.82</v>
      </c>
      <c r="O54" s="18" t="n">
        <v>25</v>
      </c>
      <c r="P54" s="18" t="n">
        <v>-1.25</v>
      </c>
      <c r="Q54" s="18" t="n">
        <v>-0.93</v>
      </c>
    </row>
    <row r="55" customFormat="false" ht="15" hidden="false" customHeight="false" outlineLevel="0" collapsed="false">
      <c r="A55" s="18" t="n">
        <v>14</v>
      </c>
      <c r="B55" s="18" t="s">
        <v>528</v>
      </c>
      <c r="C55" s="18" t="s">
        <v>529</v>
      </c>
      <c r="D55" s="18" t="s">
        <v>492</v>
      </c>
      <c r="E55" s="18" t="n">
        <v>1</v>
      </c>
      <c r="F55" s="18" t="n">
        <v>0</v>
      </c>
      <c r="G55" s="20" t="n">
        <v>-0.0498</v>
      </c>
      <c r="H55" s="20" t="n">
        <v>0.0096</v>
      </c>
      <c r="I55" s="28" t="n">
        <v>175</v>
      </c>
      <c r="J55" s="28" t="n">
        <v>653.3</v>
      </c>
      <c r="K55" s="28" t="n">
        <v>64.7</v>
      </c>
      <c r="L55" s="29" t="n">
        <v>5.054</v>
      </c>
      <c r="M55" s="19" t="n">
        <v>1.572</v>
      </c>
      <c r="N55" s="28" t="n">
        <v>5.92</v>
      </c>
      <c r="O55" s="18" t="n">
        <v>25</v>
      </c>
      <c r="P55" s="18" t="n">
        <v>-1.25</v>
      </c>
      <c r="Q55" s="18" t="n">
        <v>-0.93</v>
      </c>
    </row>
    <row r="56" customFormat="false" ht="15" hidden="false" customHeight="false" outlineLevel="0" collapsed="false">
      <c r="A56" s="18" t="n">
        <v>14</v>
      </c>
      <c r="B56" s="18" t="s">
        <v>530</v>
      </c>
      <c r="C56" s="18" t="s">
        <v>529</v>
      </c>
      <c r="D56" s="18" t="s">
        <v>494</v>
      </c>
      <c r="E56" s="18" t="n">
        <v>0</v>
      </c>
      <c r="F56" s="18" t="n">
        <v>1</v>
      </c>
      <c r="G56" s="20" t="n">
        <v>0.0555</v>
      </c>
      <c r="H56" s="20" t="n">
        <v>0.0109</v>
      </c>
      <c r="I56" s="28" t="n">
        <v>196.5</v>
      </c>
      <c r="J56" s="28" t="n">
        <v>544.7</v>
      </c>
      <c r="K56" s="28" t="n">
        <v>62.7</v>
      </c>
      <c r="L56" s="29" t="n">
        <v>2.479</v>
      </c>
      <c r="M56" s="19" t="n">
        <v>2.245</v>
      </c>
      <c r="N56" s="28" t="n">
        <v>7.73</v>
      </c>
      <c r="O56" s="18" t="n">
        <v>24</v>
      </c>
      <c r="P56" s="18" t="n">
        <v>-1.25</v>
      </c>
      <c r="Q56" s="18" t="n">
        <v>-0.93</v>
      </c>
    </row>
    <row r="57" customFormat="false" ht="15" hidden="false" customHeight="false" outlineLevel="0" collapsed="false">
      <c r="A57" s="18" t="n">
        <v>14</v>
      </c>
      <c r="B57" s="18" t="s">
        <v>530</v>
      </c>
      <c r="C57" s="18" t="s">
        <v>529</v>
      </c>
      <c r="D57" s="18" t="s">
        <v>495</v>
      </c>
      <c r="E57" s="18" t="n">
        <v>1</v>
      </c>
      <c r="F57" s="18" t="n">
        <v>1</v>
      </c>
      <c r="G57" s="20" t="n">
        <v>0.0411</v>
      </c>
      <c r="H57" s="20" t="n">
        <v>0.0096</v>
      </c>
      <c r="I57" s="28" t="n">
        <v>184.2</v>
      </c>
      <c r="J57" s="28" t="n">
        <v>651.6</v>
      </c>
      <c r="K57" s="28" t="n">
        <v>64.4</v>
      </c>
      <c r="L57" s="29" t="n">
        <v>2.655</v>
      </c>
      <c r="M57" s="19" t="n">
        <v>1.194</v>
      </c>
      <c r="N57" s="28" t="n">
        <v>6.71</v>
      </c>
      <c r="O57" s="18" t="n">
        <v>24</v>
      </c>
      <c r="P57" s="18" t="n">
        <v>-1.25</v>
      </c>
      <c r="Q57" s="18" t="n">
        <v>-0.93</v>
      </c>
    </row>
    <row r="58" customFormat="false" ht="15" hidden="false" customHeight="false" outlineLevel="0" collapsed="false">
      <c r="A58" s="18" t="n">
        <v>15</v>
      </c>
      <c r="B58" s="18" t="s">
        <v>531</v>
      </c>
      <c r="C58" s="18" t="s">
        <v>497</v>
      </c>
      <c r="D58" s="18" t="s">
        <v>491</v>
      </c>
      <c r="E58" s="18" t="n">
        <v>0</v>
      </c>
      <c r="F58" s="18" t="n">
        <v>0</v>
      </c>
      <c r="G58" s="20" t="n">
        <v>-0.0235</v>
      </c>
      <c r="H58" s="20" t="n">
        <v>0.0147</v>
      </c>
      <c r="I58" s="28" t="n">
        <v>192.5</v>
      </c>
      <c r="J58" s="28" t="n">
        <v>541.7</v>
      </c>
      <c r="K58" s="28" t="n">
        <v>67.3</v>
      </c>
      <c r="L58" s="29" t="n">
        <v>2.132</v>
      </c>
      <c r="M58" s="19" t="n">
        <v>1.478</v>
      </c>
      <c r="N58" s="28" t="n">
        <v>9.59</v>
      </c>
      <c r="O58" s="18" t="n">
        <v>23</v>
      </c>
      <c r="P58" s="18" t="n">
        <v>-1.25</v>
      </c>
      <c r="Q58" s="18" t="n">
        <v>-0.93</v>
      </c>
    </row>
    <row r="59" customFormat="false" ht="15" hidden="false" customHeight="false" outlineLevel="0" collapsed="false">
      <c r="A59" s="18" t="n">
        <v>15</v>
      </c>
      <c r="B59" s="18" t="s">
        <v>531</v>
      </c>
      <c r="C59" s="18" t="s">
        <v>497</v>
      </c>
      <c r="D59" s="18" t="s">
        <v>492</v>
      </c>
      <c r="E59" s="18" t="n">
        <v>1</v>
      </c>
      <c r="F59" s="18" t="n">
        <v>0</v>
      </c>
      <c r="G59" s="20" t="n">
        <v>-0.0493</v>
      </c>
      <c r="H59" s="20" t="n">
        <v>0.0128</v>
      </c>
      <c r="I59" s="28" t="n">
        <v>200.2</v>
      </c>
      <c r="J59" s="28" t="n">
        <v>649.1</v>
      </c>
      <c r="K59" s="28" t="n">
        <v>87.5</v>
      </c>
      <c r="L59" s="18"/>
      <c r="M59" s="19" t="n">
        <v>0.62</v>
      </c>
      <c r="N59" s="28" t="n">
        <v>11.14</v>
      </c>
      <c r="O59" s="18" t="n">
        <v>23</v>
      </c>
      <c r="P59" s="18" t="n">
        <v>-1.25</v>
      </c>
      <c r="Q59" s="18" t="n">
        <v>-0.93</v>
      </c>
    </row>
    <row r="60" customFormat="false" ht="15" hidden="false" customHeight="false" outlineLevel="0" collapsed="false">
      <c r="A60" s="18" t="n">
        <v>15</v>
      </c>
      <c r="B60" s="18" t="s">
        <v>532</v>
      </c>
      <c r="C60" s="18" t="s">
        <v>497</v>
      </c>
      <c r="D60" s="18" t="s">
        <v>494</v>
      </c>
      <c r="E60" s="18" t="n">
        <v>0</v>
      </c>
      <c r="F60" s="18" t="n">
        <v>1</v>
      </c>
      <c r="G60" s="20" t="n">
        <v>0.0493</v>
      </c>
      <c r="H60" s="20" t="n">
        <v>0.0071</v>
      </c>
      <c r="I60" s="28" t="n">
        <v>189.9</v>
      </c>
      <c r="J60" s="28" t="n">
        <v>539.1</v>
      </c>
      <c r="K60" s="28" t="n">
        <v>81.2</v>
      </c>
      <c r="L60" s="29" t="n">
        <v>3.733</v>
      </c>
      <c r="M60" s="19" t="n">
        <v>1.29</v>
      </c>
      <c r="N60" s="28" t="n">
        <v>6.46</v>
      </c>
      <c r="O60" s="18" t="n">
        <v>24</v>
      </c>
      <c r="P60" s="18" t="n">
        <v>-1.25</v>
      </c>
      <c r="Q60" s="18" t="n">
        <v>-0.93</v>
      </c>
    </row>
    <row r="61" customFormat="false" ht="15" hidden="false" customHeight="false" outlineLevel="0" collapsed="false">
      <c r="A61" s="18" t="n">
        <v>15</v>
      </c>
      <c r="B61" s="18" t="s">
        <v>532</v>
      </c>
      <c r="C61" s="18" t="s">
        <v>497</v>
      </c>
      <c r="D61" s="18" t="s">
        <v>495</v>
      </c>
      <c r="E61" s="18" t="n">
        <v>1</v>
      </c>
      <c r="F61" s="18" t="n">
        <v>1</v>
      </c>
      <c r="G61" s="20" t="n">
        <v>0.0137</v>
      </c>
      <c r="H61" s="20" t="n">
        <v>0.0136</v>
      </c>
      <c r="I61" s="28" t="n">
        <v>197</v>
      </c>
      <c r="J61" s="28" t="n">
        <v>645.2</v>
      </c>
      <c r="K61" s="28" t="n">
        <v>70.1</v>
      </c>
      <c r="L61" s="29" t="n">
        <v>3.151</v>
      </c>
      <c r="M61" s="19" t="n">
        <v>1.028</v>
      </c>
      <c r="N61" s="28" t="n">
        <v>8.75</v>
      </c>
      <c r="O61" s="18" t="n">
        <v>24</v>
      </c>
      <c r="P61" s="18" t="n">
        <v>-1.25</v>
      </c>
      <c r="Q61" s="18" t="n">
        <v>-0.93</v>
      </c>
    </row>
    <row r="62" customFormat="false" ht="15" hidden="false" customHeight="false" outlineLevel="0" collapsed="false">
      <c r="A62" s="18" t="n">
        <v>16</v>
      </c>
      <c r="B62" s="18" t="s">
        <v>533</v>
      </c>
      <c r="C62" s="18" t="s">
        <v>490</v>
      </c>
      <c r="D62" s="18" t="s">
        <v>491</v>
      </c>
      <c r="E62" s="18" t="n">
        <v>0</v>
      </c>
      <c r="F62" s="18" t="n">
        <v>0</v>
      </c>
      <c r="G62" s="20" t="n">
        <v>-0.0356</v>
      </c>
      <c r="H62" s="20" t="n">
        <v>0.0096</v>
      </c>
      <c r="I62" s="28" t="n">
        <v>194</v>
      </c>
      <c r="J62" s="28" t="n">
        <v>540.8</v>
      </c>
      <c r="K62" s="28" t="n">
        <v>67.8</v>
      </c>
      <c r="L62" s="29" t="n">
        <v>0.809</v>
      </c>
      <c r="M62" s="19" t="n">
        <v>0.76</v>
      </c>
      <c r="N62" s="28" t="n">
        <v>5.48</v>
      </c>
      <c r="O62" s="18" t="n">
        <v>24</v>
      </c>
      <c r="P62" s="18" t="n">
        <v>-1.25</v>
      </c>
      <c r="Q62" s="18" t="n">
        <v>-0.93</v>
      </c>
    </row>
    <row r="63" customFormat="false" ht="15" hidden="false" customHeight="false" outlineLevel="0" collapsed="false">
      <c r="A63" s="18" t="n">
        <v>16</v>
      </c>
      <c r="B63" s="18" t="s">
        <v>533</v>
      </c>
      <c r="C63" s="18" t="s">
        <v>490</v>
      </c>
      <c r="D63" s="18" t="s">
        <v>492</v>
      </c>
      <c r="E63" s="18" t="n">
        <v>1</v>
      </c>
      <c r="F63" s="18" t="n">
        <v>0</v>
      </c>
      <c r="G63" s="20" t="n">
        <v>-0.0534</v>
      </c>
      <c r="H63" s="20" t="n">
        <v>0.01</v>
      </c>
      <c r="I63" s="28" t="n">
        <v>183.9</v>
      </c>
      <c r="J63" s="28" t="n">
        <v>647.9</v>
      </c>
      <c r="K63" s="28" t="n">
        <v>65.1</v>
      </c>
      <c r="L63" s="29" t="n">
        <v>3.027</v>
      </c>
      <c r="M63" s="19" t="n">
        <v>0.763</v>
      </c>
      <c r="N63" s="28" t="n">
        <v>7.2</v>
      </c>
      <c r="O63" s="18" t="n">
        <v>24</v>
      </c>
      <c r="P63" s="18" t="n">
        <v>-1.25</v>
      </c>
      <c r="Q63" s="18" t="n">
        <v>-0.93</v>
      </c>
    </row>
    <row r="64" customFormat="false" ht="15" hidden="false" customHeight="false" outlineLevel="0" collapsed="false">
      <c r="A64" s="18" t="n">
        <v>16</v>
      </c>
      <c r="B64" s="18" t="s">
        <v>534</v>
      </c>
      <c r="C64" s="18" t="s">
        <v>490</v>
      </c>
      <c r="D64" s="18" t="s">
        <v>494</v>
      </c>
      <c r="E64" s="18" t="n">
        <v>0</v>
      </c>
      <c r="F64" s="18" t="n">
        <v>1</v>
      </c>
      <c r="G64" s="20" t="n">
        <v>0.0426</v>
      </c>
      <c r="H64" s="20" t="n">
        <v>0.0143</v>
      </c>
      <c r="I64" s="28" t="n">
        <v>210.1</v>
      </c>
      <c r="J64" s="28" t="n">
        <v>538.1</v>
      </c>
      <c r="K64" s="28" t="n">
        <v>81.6</v>
      </c>
      <c r="L64" s="29" t="n">
        <v>1.511</v>
      </c>
      <c r="M64" s="19" t="n">
        <v>1.219</v>
      </c>
      <c r="N64" s="28" t="n">
        <v>8.77</v>
      </c>
      <c r="O64" s="18" t="n">
        <v>25</v>
      </c>
      <c r="P64" s="18" t="n">
        <v>-1.25</v>
      </c>
      <c r="Q64" s="18" t="n">
        <v>-0.93</v>
      </c>
    </row>
    <row r="65" customFormat="false" ht="15" hidden="false" customHeight="false" outlineLevel="0" collapsed="false">
      <c r="A65" s="18" t="n">
        <v>16</v>
      </c>
      <c r="B65" s="18" t="s">
        <v>534</v>
      </c>
      <c r="C65" s="18" t="s">
        <v>490</v>
      </c>
      <c r="D65" s="18" t="s">
        <v>495</v>
      </c>
      <c r="E65" s="18" t="n">
        <v>1</v>
      </c>
      <c r="F65" s="18" t="n">
        <v>1</v>
      </c>
      <c r="G65" s="20" t="n">
        <v>0.0163</v>
      </c>
      <c r="H65" s="20" t="n">
        <v>0.011</v>
      </c>
      <c r="I65" s="28" t="n">
        <v>219.4</v>
      </c>
      <c r="J65" s="28" t="n">
        <v>644</v>
      </c>
      <c r="K65" s="28" t="n">
        <v>89</v>
      </c>
      <c r="L65" s="29" t="n">
        <v>3.473</v>
      </c>
      <c r="M65" s="19" t="n">
        <v>1.011</v>
      </c>
      <c r="N65" s="28" t="n">
        <v>9.89</v>
      </c>
      <c r="O65" s="18" t="n">
        <v>25</v>
      </c>
      <c r="P65" s="18" t="n">
        <v>-1.25</v>
      </c>
      <c r="Q65" s="18" t="n">
        <v>-0.93</v>
      </c>
    </row>
    <row r="66" customFormat="false" ht="15" hidden="false" customHeight="false" outlineLevel="0" collapsed="false">
      <c r="A66" s="18" t="n">
        <v>17</v>
      </c>
      <c r="B66" s="18" t="s">
        <v>535</v>
      </c>
      <c r="C66" s="18" t="s">
        <v>490</v>
      </c>
      <c r="D66" s="18" t="s">
        <v>491</v>
      </c>
      <c r="E66" s="18" t="n">
        <v>0</v>
      </c>
      <c r="F66" s="18" t="n">
        <v>0</v>
      </c>
      <c r="G66" s="20" t="n">
        <v>-0.0465</v>
      </c>
      <c r="H66" s="20" t="n">
        <v>0.0128</v>
      </c>
      <c r="I66" s="28" t="n">
        <v>227.7</v>
      </c>
      <c r="J66" s="28" t="n">
        <v>533.7</v>
      </c>
      <c r="K66" s="28" t="n">
        <v>95.3</v>
      </c>
      <c r="L66" s="18"/>
      <c r="M66" s="19" t="n">
        <v>0.372</v>
      </c>
      <c r="N66" s="28" t="n">
        <v>10.15</v>
      </c>
      <c r="O66" s="18" t="n">
        <v>29</v>
      </c>
      <c r="P66" s="18" t="n">
        <v>-1.25</v>
      </c>
      <c r="Q66" s="18" t="n">
        <v>-0.93</v>
      </c>
    </row>
    <row r="67" customFormat="false" ht="15" hidden="false" customHeight="false" outlineLevel="0" collapsed="false">
      <c r="A67" s="18" t="n">
        <v>17</v>
      </c>
      <c r="B67" s="18" t="s">
        <v>535</v>
      </c>
      <c r="C67" s="18" t="s">
        <v>490</v>
      </c>
      <c r="D67" s="18" t="s">
        <v>492</v>
      </c>
      <c r="E67" s="18" t="n">
        <v>1</v>
      </c>
      <c r="F67" s="18" t="n">
        <v>0</v>
      </c>
      <c r="G67" s="20" t="n">
        <v>-0.0365</v>
      </c>
      <c r="H67" s="20" t="n">
        <v>0.0145</v>
      </c>
      <c r="I67" s="28" t="n">
        <v>196.5</v>
      </c>
      <c r="J67" s="28" t="n">
        <v>640.9</v>
      </c>
      <c r="K67" s="28" t="n">
        <v>89.7</v>
      </c>
      <c r="L67" s="18"/>
      <c r="M67" s="19" t="n">
        <v>0.572</v>
      </c>
      <c r="N67" s="28" t="n">
        <v>7.44</v>
      </c>
      <c r="O67" s="18" t="n">
        <v>29</v>
      </c>
      <c r="P67" s="18" t="n">
        <v>-1.25</v>
      </c>
      <c r="Q67" s="18" t="n">
        <v>-0.93</v>
      </c>
    </row>
    <row r="68" customFormat="false" ht="15" hidden="false" customHeight="false" outlineLevel="0" collapsed="false">
      <c r="A68" s="18" t="n">
        <v>17</v>
      </c>
      <c r="B68" s="18" t="s">
        <v>536</v>
      </c>
      <c r="C68" s="18" t="s">
        <v>490</v>
      </c>
      <c r="D68" s="18" t="s">
        <v>494</v>
      </c>
      <c r="E68" s="18" t="n">
        <v>0</v>
      </c>
      <c r="F68" s="18" t="n">
        <v>1</v>
      </c>
      <c r="G68" s="20" t="n">
        <v>0.0318</v>
      </c>
      <c r="H68" s="20" t="n">
        <v>0.0136</v>
      </c>
      <c r="I68" s="28" t="n">
        <v>178.9</v>
      </c>
      <c r="J68" s="28" t="n">
        <v>531.3</v>
      </c>
      <c r="K68" s="28" t="n">
        <v>109.1</v>
      </c>
      <c r="L68" s="18"/>
      <c r="M68" s="19" t="n">
        <v>1.308</v>
      </c>
      <c r="N68" s="28" t="n">
        <v>7.45</v>
      </c>
      <c r="O68" s="18" t="n">
        <v>27</v>
      </c>
      <c r="P68" s="18" t="n">
        <v>-1.25</v>
      </c>
      <c r="Q68" s="18" t="n">
        <v>-0.93</v>
      </c>
    </row>
    <row r="69" customFormat="false" ht="15" hidden="false" customHeight="false" outlineLevel="0" collapsed="false">
      <c r="A69" s="18" t="n">
        <v>17</v>
      </c>
      <c r="B69" s="18" t="s">
        <v>536</v>
      </c>
      <c r="C69" s="18" t="s">
        <v>490</v>
      </c>
      <c r="D69" s="18" t="s">
        <v>495</v>
      </c>
      <c r="E69" s="18" t="n">
        <v>1</v>
      </c>
      <c r="F69" s="18" t="n">
        <v>1</v>
      </c>
      <c r="G69" s="20" t="n">
        <v>0.0231</v>
      </c>
      <c r="H69" s="20" t="n">
        <v>0.0062</v>
      </c>
      <c r="I69" s="28" t="n">
        <v>199</v>
      </c>
      <c r="J69" s="28" t="n">
        <v>635.6</v>
      </c>
      <c r="K69" s="28" t="n">
        <v>119.1</v>
      </c>
      <c r="L69" s="29" t="n">
        <v>3.192</v>
      </c>
      <c r="M69" s="19" t="n">
        <v>0.95</v>
      </c>
      <c r="N69" s="28" t="n">
        <v>8.03</v>
      </c>
      <c r="O69" s="18" t="n">
        <v>27</v>
      </c>
      <c r="P69" s="18" t="n">
        <v>-1.25</v>
      </c>
      <c r="Q69" s="18" t="n">
        <v>-0.93</v>
      </c>
    </row>
    <row r="70" customFormat="false" ht="15" hidden="false" customHeight="false" outlineLevel="0" collapsed="false">
      <c r="A70" s="18" t="n">
        <v>18</v>
      </c>
      <c r="B70" s="18" t="s">
        <v>537</v>
      </c>
      <c r="C70" s="18" t="s">
        <v>538</v>
      </c>
      <c r="D70" s="18" t="s">
        <v>491</v>
      </c>
      <c r="E70" s="18" t="n">
        <v>0</v>
      </c>
      <c r="F70" s="18" t="n">
        <v>0</v>
      </c>
      <c r="G70" s="20" t="n">
        <v>-0.0486</v>
      </c>
      <c r="H70" s="20" t="n">
        <v>0.006</v>
      </c>
      <c r="I70" s="28" t="n">
        <v>188.9</v>
      </c>
      <c r="J70" s="28" t="n">
        <v>454.9</v>
      </c>
      <c r="K70" s="28" t="n">
        <v>58.1</v>
      </c>
      <c r="L70" s="29" t="n">
        <v>3.597</v>
      </c>
      <c r="M70" s="19" t="n">
        <v>0.827</v>
      </c>
      <c r="N70" s="28" t="n">
        <v>6.66</v>
      </c>
      <c r="O70" s="18" t="n">
        <v>24</v>
      </c>
      <c r="P70" s="18" t="n">
        <v>-1.25</v>
      </c>
      <c r="Q70" s="18" t="n">
        <v>-1.03</v>
      </c>
    </row>
    <row r="71" customFormat="false" ht="15" hidden="false" customHeight="false" outlineLevel="0" collapsed="false">
      <c r="A71" s="18" t="n">
        <v>18</v>
      </c>
      <c r="B71" s="18" t="s">
        <v>537</v>
      </c>
      <c r="C71" s="18" t="s">
        <v>538</v>
      </c>
      <c r="D71" s="18" t="s">
        <v>492</v>
      </c>
      <c r="E71" s="18" t="n">
        <v>1</v>
      </c>
      <c r="F71" s="18" t="n">
        <v>0</v>
      </c>
      <c r="G71" s="20" t="n">
        <v>-0.0457</v>
      </c>
      <c r="H71" s="20" t="n">
        <v>0.009</v>
      </c>
      <c r="I71" s="28" t="n">
        <v>165.7</v>
      </c>
      <c r="J71" s="28" t="n">
        <v>561.3</v>
      </c>
      <c r="K71" s="28" t="n">
        <v>60.7</v>
      </c>
      <c r="L71" s="29" t="n">
        <v>2.262</v>
      </c>
      <c r="M71" s="19" t="n">
        <v>0.855</v>
      </c>
      <c r="N71" s="28" t="n">
        <v>8.05</v>
      </c>
      <c r="O71" s="18" t="n">
        <v>24</v>
      </c>
      <c r="P71" s="18" t="n">
        <v>-1.25</v>
      </c>
      <c r="Q71" s="18" t="n">
        <v>-1.03</v>
      </c>
    </row>
    <row r="72" customFormat="false" ht="15" hidden="false" customHeight="false" outlineLevel="0" collapsed="false">
      <c r="A72" s="18" t="n">
        <v>18</v>
      </c>
      <c r="B72" s="18" t="s">
        <v>539</v>
      </c>
      <c r="C72" s="18" t="s">
        <v>538</v>
      </c>
      <c r="D72" s="18" t="s">
        <v>494</v>
      </c>
      <c r="E72" s="18" t="n">
        <v>0</v>
      </c>
      <c r="F72" s="18" t="n">
        <v>1</v>
      </c>
      <c r="G72" s="20" t="n">
        <v>0.0672</v>
      </c>
      <c r="H72" s="20" t="n">
        <v>0.0157</v>
      </c>
      <c r="I72" s="28" t="n">
        <v>160.4</v>
      </c>
      <c r="J72" s="28" t="n">
        <v>461.6</v>
      </c>
      <c r="K72" s="28" t="n">
        <v>60.1</v>
      </c>
      <c r="L72" s="18"/>
      <c r="M72" s="19" t="n">
        <v>0.495</v>
      </c>
      <c r="N72" s="28" t="n">
        <v>8.52</v>
      </c>
      <c r="O72" s="18" t="n">
        <v>24</v>
      </c>
      <c r="P72" s="18" t="n">
        <v>-1.25</v>
      </c>
      <c r="Q72" s="18" t="n">
        <v>-1.03</v>
      </c>
    </row>
    <row r="73" customFormat="false" ht="15" hidden="false" customHeight="false" outlineLevel="0" collapsed="false">
      <c r="A73" s="18" t="n">
        <v>18</v>
      </c>
      <c r="B73" s="18" t="s">
        <v>539</v>
      </c>
      <c r="C73" s="18" t="s">
        <v>538</v>
      </c>
      <c r="D73" s="18" t="s">
        <v>495</v>
      </c>
      <c r="E73" s="18" t="n">
        <v>1</v>
      </c>
      <c r="F73" s="18" t="n">
        <v>1</v>
      </c>
      <c r="G73" s="20" t="n">
        <v>0.0182</v>
      </c>
      <c r="H73" s="20" t="n">
        <v>0.0173</v>
      </c>
      <c r="I73" s="28" t="n">
        <v>178</v>
      </c>
      <c r="J73" s="28" t="n">
        <v>568.3</v>
      </c>
      <c r="K73" s="28" t="n">
        <v>60</v>
      </c>
      <c r="L73" s="29" t="n">
        <v>1.171</v>
      </c>
      <c r="M73" s="19" t="n">
        <v>0.985</v>
      </c>
      <c r="N73" s="28" t="n">
        <v>10.89</v>
      </c>
      <c r="O73" s="18" t="n">
        <v>24</v>
      </c>
      <c r="P73" s="18" t="n">
        <v>-1.25</v>
      </c>
      <c r="Q73" s="18" t="n">
        <v>-1.03</v>
      </c>
    </row>
    <row r="74" customFormat="false" ht="15" hidden="false" customHeight="false" outlineLevel="0" collapsed="false">
      <c r="A74" s="18" t="n">
        <v>19</v>
      </c>
      <c r="B74" s="18" t="s">
        <v>540</v>
      </c>
      <c r="C74" s="18" t="s">
        <v>490</v>
      </c>
      <c r="D74" s="18" t="s">
        <v>491</v>
      </c>
      <c r="E74" s="18" t="n">
        <v>0</v>
      </c>
      <c r="F74" s="18" t="n">
        <v>0</v>
      </c>
      <c r="G74" s="20" t="n">
        <v>-0.0496</v>
      </c>
      <c r="H74" s="20" t="n">
        <v>0.0148</v>
      </c>
      <c r="I74" s="28" t="n">
        <v>156.9</v>
      </c>
      <c r="J74" s="28" t="n">
        <v>528.3</v>
      </c>
      <c r="K74" s="28" t="n">
        <v>76.7</v>
      </c>
      <c r="L74" s="29" t="n">
        <v>2.03</v>
      </c>
      <c r="M74" s="19" t="n">
        <v>0.305</v>
      </c>
      <c r="N74" s="28" t="n">
        <v>10</v>
      </c>
      <c r="O74" s="18" t="n">
        <v>26</v>
      </c>
      <c r="P74" s="18" t="n">
        <v>-1.25</v>
      </c>
      <c r="Q74" s="18" t="n">
        <v>-0.93</v>
      </c>
    </row>
    <row r="75" customFormat="false" ht="15" hidden="false" customHeight="false" outlineLevel="0" collapsed="false">
      <c r="A75" s="18" t="n">
        <v>19</v>
      </c>
      <c r="B75" s="18" t="s">
        <v>540</v>
      </c>
      <c r="C75" s="18" t="s">
        <v>490</v>
      </c>
      <c r="D75" s="18" t="s">
        <v>492</v>
      </c>
      <c r="E75" s="18" t="n">
        <v>1</v>
      </c>
      <c r="F75" s="18" t="n">
        <v>0</v>
      </c>
      <c r="G75" s="20" t="n">
        <v>-0.0695</v>
      </c>
      <c r="H75" s="20" t="n">
        <v>0.0128</v>
      </c>
      <c r="I75" s="28" t="n">
        <v>206.4</v>
      </c>
      <c r="J75" s="28" t="n">
        <v>628.8</v>
      </c>
      <c r="K75" s="28" t="n">
        <v>80.2</v>
      </c>
      <c r="L75" s="18"/>
      <c r="M75" s="19" t="n">
        <v>0.944</v>
      </c>
      <c r="N75" s="28" t="n">
        <v>9.11</v>
      </c>
      <c r="O75" s="18" t="n">
        <v>26</v>
      </c>
      <c r="P75" s="18" t="n">
        <v>-1.25</v>
      </c>
      <c r="Q75" s="18" t="n">
        <v>-0.93</v>
      </c>
    </row>
    <row r="76" customFormat="false" ht="15" hidden="false" customHeight="false" outlineLevel="0" collapsed="false">
      <c r="A76" s="18" t="n">
        <v>19</v>
      </c>
      <c r="B76" s="18" t="s">
        <v>541</v>
      </c>
      <c r="C76" s="18" t="s">
        <v>490</v>
      </c>
      <c r="D76" s="18" t="s">
        <v>494</v>
      </c>
      <c r="E76" s="18" t="n">
        <v>0</v>
      </c>
      <c r="F76" s="18" t="n">
        <v>1</v>
      </c>
      <c r="G76" s="20" t="n">
        <v>0.028</v>
      </c>
      <c r="H76" s="20" t="n">
        <v>0.008</v>
      </c>
      <c r="I76" s="28" t="n">
        <v>209.3</v>
      </c>
      <c r="J76" s="28" t="n">
        <v>526.6</v>
      </c>
      <c r="K76" s="28" t="n">
        <v>121.4</v>
      </c>
      <c r="L76" s="29" t="n">
        <v>1.555</v>
      </c>
      <c r="M76" s="19" t="n">
        <v>1.127</v>
      </c>
      <c r="N76" s="28" t="n">
        <v>5.65</v>
      </c>
      <c r="O76" s="18" t="n">
        <v>29</v>
      </c>
      <c r="P76" s="18" t="n">
        <v>-1.25</v>
      </c>
      <c r="Q76" s="18" t="n">
        <v>-0.93</v>
      </c>
    </row>
    <row r="77" customFormat="false" ht="15" hidden="false" customHeight="false" outlineLevel="0" collapsed="false">
      <c r="A77" s="18" t="n">
        <v>19</v>
      </c>
      <c r="B77" s="18" t="s">
        <v>541</v>
      </c>
      <c r="C77" s="18" t="s">
        <v>490</v>
      </c>
      <c r="D77" s="18" t="s">
        <v>495</v>
      </c>
      <c r="E77" s="18" t="n">
        <v>1</v>
      </c>
      <c r="F77" s="18" t="n">
        <v>1</v>
      </c>
      <c r="G77" s="20" t="n">
        <v>0.0395</v>
      </c>
      <c r="H77" s="20" t="n">
        <v>0.0084</v>
      </c>
      <c r="I77" s="28" t="n">
        <v>202.2</v>
      </c>
      <c r="J77" s="28" t="n">
        <v>634.5</v>
      </c>
      <c r="K77" s="28" t="n">
        <v>126.2</v>
      </c>
      <c r="L77" s="29" t="n">
        <v>3.252</v>
      </c>
      <c r="M77" s="19" t="n">
        <v>1.048</v>
      </c>
      <c r="N77" s="28" t="n">
        <v>9.38</v>
      </c>
      <c r="O77" s="18" t="n">
        <v>29</v>
      </c>
      <c r="P77" s="18" t="n">
        <v>-1.25</v>
      </c>
      <c r="Q77" s="18" t="n">
        <v>-0.93</v>
      </c>
    </row>
    <row r="78" customFormat="false" ht="15" hidden="false" customHeight="false" outlineLevel="0" collapsed="false">
      <c r="A78" s="18" t="n">
        <v>20</v>
      </c>
      <c r="B78" s="18" t="s">
        <v>542</v>
      </c>
      <c r="C78" s="18" t="s">
        <v>490</v>
      </c>
      <c r="D78" s="18" t="s">
        <v>491</v>
      </c>
      <c r="E78" s="18" t="n">
        <v>0</v>
      </c>
      <c r="F78" s="18" t="n">
        <v>0</v>
      </c>
      <c r="G78" s="20" t="n">
        <v>-0.0559</v>
      </c>
      <c r="H78" s="20" t="n">
        <v>0.0097</v>
      </c>
      <c r="I78" s="28" t="n">
        <v>192.1</v>
      </c>
      <c r="J78" s="28" t="n">
        <v>527.3</v>
      </c>
      <c r="K78" s="28" t="n">
        <v>71.3</v>
      </c>
      <c r="L78" s="29" t="n">
        <v>1.2</v>
      </c>
      <c r="M78" s="19" t="n">
        <v>1.295</v>
      </c>
      <c r="N78" s="28" t="n">
        <v>8.78</v>
      </c>
      <c r="O78" s="18" t="n">
        <v>25</v>
      </c>
      <c r="P78" s="18" t="n">
        <v>-1.25</v>
      </c>
      <c r="Q78" s="18" t="n">
        <v>-0.93</v>
      </c>
    </row>
    <row r="79" customFormat="false" ht="15" hidden="false" customHeight="false" outlineLevel="0" collapsed="false">
      <c r="A79" s="18" t="n">
        <v>20</v>
      </c>
      <c r="B79" s="18" t="s">
        <v>542</v>
      </c>
      <c r="C79" s="18" t="s">
        <v>490</v>
      </c>
      <c r="D79" s="18" t="s">
        <v>492</v>
      </c>
      <c r="E79" s="18" t="n">
        <v>1</v>
      </c>
      <c r="F79" s="18" t="n">
        <v>0</v>
      </c>
      <c r="G79" s="20" t="n">
        <v>-0.0497</v>
      </c>
      <c r="H79" s="20" t="n">
        <v>0.0127</v>
      </c>
      <c r="I79" s="28" t="n">
        <v>168.7</v>
      </c>
      <c r="J79" s="28" t="n">
        <v>635.5</v>
      </c>
      <c r="K79" s="28" t="n">
        <v>76.2</v>
      </c>
      <c r="L79" s="29" t="n">
        <v>1.661</v>
      </c>
      <c r="M79" s="19" t="n">
        <v>1.182</v>
      </c>
      <c r="N79" s="28" t="n">
        <v>7.86</v>
      </c>
      <c r="O79" s="18" t="n">
        <v>25</v>
      </c>
      <c r="P79" s="18" t="n">
        <v>-1.25</v>
      </c>
      <c r="Q79" s="18" t="n">
        <v>-0.93</v>
      </c>
    </row>
    <row r="80" customFormat="false" ht="15" hidden="false" customHeight="false" outlineLevel="0" collapsed="false">
      <c r="A80" s="18" t="n">
        <v>20</v>
      </c>
      <c r="B80" s="18" t="s">
        <v>543</v>
      </c>
      <c r="C80" s="18" t="s">
        <v>490</v>
      </c>
      <c r="D80" s="18" t="s">
        <v>494</v>
      </c>
      <c r="E80" s="18" t="n">
        <v>0</v>
      </c>
      <c r="F80" s="18" t="n">
        <v>1</v>
      </c>
      <c r="G80" s="20" t="n">
        <v>0.0588</v>
      </c>
      <c r="H80" s="20" t="n">
        <v>0.0118</v>
      </c>
      <c r="I80" s="28" t="n">
        <v>165.3</v>
      </c>
      <c r="J80" s="28" t="n">
        <v>537</v>
      </c>
      <c r="K80" s="28" t="n">
        <v>74.3</v>
      </c>
      <c r="L80" s="29" t="n">
        <v>3.973</v>
      </c>
      <c r="M80" s="19" t="n">
        <v>0.758</v>
      </c>
      <c r="N80" s="28" t="n">
        <v>5.57</v>
      </c>
      <c r="O80" s="18" t="n">
        <v>23</v>
      </c>
      <c r="P80" s="18" t="n">
        <v>-1.25</v>
      </c>
      <c r="Q80" s="18" t="n">
        <v>-0.93</v>
      </c>
    </row>
    <row r="81" customFormat="false" ht="15" hidden="false" customHeight="false" outlineLevel="0" collapsed="false">
      <c r="A81" s="18" t="n">
        <v>20</v>
      </c>
      <c r="B81" s="18" t="s">
        <v>543</v>
      </c>
      <c r="C81" s="18" t="s">
        <v>490</v>
      </c>
      <c r="D81" s="18" t="s">
        <v>495</v>
      </c>
      <c r="E81" s="18" t="n">
        <v>1</v>
      </c>
      <c r="F81" s="18" t="n">
        <v>1</v>
      </c>
      <c r="G81" s="20" t="n">
        <v>0.0486</v>
      </c>
      <c r="H81" s="20" t="n">
        <v>0.0138</v>
      </c>
      <c r="I81" s="28" t="n">
        <v>188.9</v>
      </c>
      <c r="J81" s="28" t="n">
        <v>643.6</v>
      </c>
      <c r="K81" s="28" t="n">
        <v>62.7</v>
      </c>
      <c r="L81" s="18"/>
      <c r="M81" s="19" t="n">
        <v>0.677</v>
      </c>
      <c r="N81" s="28" t="n">
        <v>6.51</v>
      </c>
      <c r="O81" s="18" t="n">
        <v>23</v>
      </c>
      <c r="P81" s="18" t="n">
        <v>-1.25</v>
      </c>
      <c r="Q81" s="18" t="n">
        <v>-0.93</v>
      </c>
    </row>
    <row r="82" customFormat="false" ht="15" hidden="false" customHeight="false" outlineLevel="0" collapsed="false">
      <c r="A82" s="18" t="n">
        <v>21</v>
      </c>
      <c r="B82" s="18" t="s">
        <v>544</v>
      </c>
      <c r="C82" s="18" t="s">
        <v>490</v>
      </c>
      <c r="D82" s="18" t="s">
        <v>491</v>
      </c>
      <c r="E82" s="18" t="n">
        <v>0</v>
      </c>
      <c r="F82" s="18" t="n">
        <v>0</v>
      </c>
      <c r="G82" s="20" t="n">
        <v>-0.0488</v>
      </c>
      <c r="H82" s="20" t="n">
        <v>0.0086</v>
      </c>
      <c r="I82" s="28" t="n">
        <v>211.4</v>
      </c>
      <c r="J82" s="28" t="n">
        <v>534.8</v>
      </c>
      <c r="K82" s="28" t="n">
        <v>118.5</v>
      </c>
      <c r="L82" s="29" t="n">
        <v>1.672</v>
      </c>
      <c r="M82" s="19" t="n">
        <v>0.95</v>
      </c>
      <c r="N82" s="28" t="n">
        <v>6.3</v>
      </c>
      <c r="O82" s="18" t="n">
        <v>31</v>
      </c>
      <c r="P82" s="18" t="n">
        <v>-1.25</v>
      </c>
      <c r="Q82" s="18" t="n">
        <v>-0.93</v>
      </c>
    </row>
    <row r="83" customFormat="false" ht="15" hidden="false" customHeight="false" outlineLevel="0" collapsed="false">
      <c r="A83" s="18" t="n">
        <v>21</v>
      </c>
      <c r="B83" s="18" t="s">
        <v>544</v>
      </c>
      <c r="C83" s="18" t="s">
        <v>490</v>
      </c>
      <c r="D83" s="18" t="s">
        <v>492</v>
      </c>
      <c r="E83" s="18" t="n">
        <v>1</v>
      </c>
      <c r="F83" s="18" t="n">
        <v>0</v>
      </c>
      <c r="G83" s="20" t="n">
        <v>-0.0498</v>
      </c>
      <c r="H83" s="20" t="n">
        <v>0.0094</v>
      </c>
      <c r="I83" s="28" t="n">
        <v>176.1</v>
      </c>
      <c r="J83" s="28" t="n">
        <v>643.6</v>
      </c>
      <c r="K83" s="28" t="n">
        <v>101.1</v>
      </c>
      <c r="L83" s="18"/>
      <c r="M83" s="19" t="n">
        <v>0.799</v>
      </c>
      <c r="N83" s="28" t="n">
        <v>7.18</v>
      </c>
      <c r="O83" s="18" t="n">
        <v>31</v>
      </c>
      <c r="P83" s="18" t="n">
        <v>-1.25</v>
      </c>
      <c r="Q83" s="18" t="n">
        <v>-0.93</v>
      </c>
    </row>
    <row r="84" customFormat="false" ht="15" hidden="false" customHeight="false" outlineLevel="0" collapsed="false">
      <c r="A84" s="18" t="n">
        <v>21</v>
      </c>
      <c r="B84" s="18" t="s">
        <v>545</v>
      </c>
      <c r="C84" s="18" t="s">
        <v>490</v>
      </c>
      <c r="D84" s="18" t="s">
        <v>494</v>
      </c>
      <c r="E84" s="18" t="n">
        <v>0</v>
      </c>
      <c r="F84" s="18" t="n">
        <v>1</v>
      </c>
      <c r="G84" s="20" t="n">
        <v>0.0632</v>
      </c>
      <c r="H84" s="20" t="n">
        <v>0.0189</v>
      </c>
      <c r="I84" s="28" t="n">
        <v>206</v>
      </c>
      <c r="J84" s="28" t="n">
        <v>530.5</v>
      </c>
      <c r="K84" s="28" t="n">
        <v>155.8</v>
      </c>
      <c r="L84" s="18"/>
      <c r="M84" s="19" t="n">
        <v>1.764</v>
      </c>
      <c r="N84" s="28" t="n">
        <v>11.98</v>
      </c>
      <c r="O84" s="18" t="n">
        <v>34</v>
      </c>
      <c r="P84" s="18" t="n">
        <v>-1.25</v>
      </c>
      <c r="Q84" s="18" t="n">
        <v>-0.93</v>
      </c>
    </row>
    <row r="85" customFormat="false" ht="15" hidden="false" customHeight="false" outlineLevel="0" collapsed="false">
      <c r="A85" s="18" t="n">
        <v>21</v>
      </c>
      <c r="B85" s="18" t="s">
        <v>545</v>
      </c>
      <c r="C85" s="18" t="s">
        <v>490</v>
      </c>
      <c r="D85" s="18" t="s">
        <v>495</v>
      </c>
      <c r="E85" s="18" t="n">
        <v>1</v>
      </c>
      <c r="F85" s="18" t="n">
        <v>1</v>
      </c>
      <c r="G85" s="20" t="n">
        <v>0.0486</v>
      </c>
      <c r="H85" s="20" t="n">
        <v>0.0112</v>
      </c>
      <c r="I85" s="28" t="n">
        <v>191.6</v>
      </c>
      <c r="J85" s="28" t="n">
        <v>635.3</v>
      </c>
      <c r="K85" s="28" t="n">
        <v>150.7</v>
      </c>
      <c r="L85" s="29" t="n">
        <v>2.088</v>
      </c>
      <c r="M85" s="19" t="n">
        <v>1.224</v>
      </c>
      <c r="N85" s="28" t="n">
        <v>12.04</v>
      </c>
      <c r="O85" s="18" t="n">
        <v>34</v>
      </c>
      <c r="P85" s="18" t="n">
        <v>-1.25</v>
      </c>
      <c r="Q85" s="18" t="n">
        <v>-0.93</v>
      </c>
    </row>
    <row r="86" customFormat="false" ht="15" hidden="false" customHeight="false" outlineLevel="0" collapsed="false">
      <c r="A86" s="18" t="n">
        <v>22</v>
      </c>
      <c r="B86" s="18" t="s">
        <v>546</v>
      </c>
      <c r="C86" s="18" t="s">
        <v>529</v>
      </c>
      <c r="D86" s="18" t="s">
        <v>491</v>
      </c>
      <c r="E86" s="18" t="n">
        <v>0</v>
      </c>
      <c r="F86" s="18" t="n">
        <v>0</v>
      </c>
      <c r="G86" s="20" t="n">
        <v>-0.0321</v>
      </c>
      <c r="H86" s="20" t="n">
        <v>0.0114</v>
      </c>
      <c r="I86" s="28" t="n">
        <v>196.5</v>
      </c>
      <c r="J86" s="28" t="n">
        <v>527.1</v>
      </c>
      <c r="K86" s="28" t="n">
        <v>85.6</v>
      </c>
      <c r="L86" s="18"/>
      <c r="M86" s="19" t="n">
        <v>1.131</v>
      </c>
      <c r="N86" s="28" t="n">
        <v>7.89</v>
      </c>
      <c r="O86" s="18" t="n">
        <v>28</v>
      </c>
      <c r="P86" s="18" t="n">
        <v>-1.25</v>
      </c>
      <c r="Q86" s="18" t="n">
        <v>-0.93</v>
      </c>
    </row>
    <row r="87" customFormat="false" ht="15" hidden="false" customHeight="false" outlineLevel="0" collapsed="false">
      <c r="A87" s="18" t="n">
        <v>22</v>
      </c>
      <c r="B87" s="18" t="s">
        <v>546</v>
      </c>
      <c r="C87" s="18" t="s">
        <v>529</v>
      </c>
      <c r="D87" s="18" t="s">
        <v>492</v>
      </c>
      <c r="E87" s="18" t="n">
        <v>1</v>
      </c>
      <c r="F87" s="18" t="n">
        <v>0</v>
      </c>
      <c r="G87" s="20" t="n">
        <v>-0.058</v>
      </c>
      <c r="H87" s="20" t="n">
        <v>0.01</v>
      </c>
      <c r="I87" s="28" t="n">
        <v>170.6</v>
      </c>
      <c r="J87" s="28" t="n">
        <v>633.3</v>
      </c>
      <c r="K87" s="28" t="n">
        <v>98.4</v>
      </c>
      <c r="L87" s="29" t="n">
        <v>0.943</v>
      </c>
      <c r="M87" s="19" t="n">
        <v>1.191</v>
      </c>
      <c r="N87" s="28" t="n">
        <v>7.47</v>
      </c>
      <c r="O87" s="18" t="n">
        <v>28</v>
      </c>
      <c r="P87" s="18" t="n">
        <v>-1.25</v>
      </c>
      <c r="Q87" s="18" t="n">
        <v>-0.93</v>
      </c>
    </row>
    <row r="88" customFormat="false" ht="15" hidden="false" customHeight="false" outlineLevel="0" collapsed="false">
      <c r="A88" s="18" t="n">
        <v>22</v>
      </c>
      <c r="B88" s="18" t="s">
        <v>547</v>
      </c>
      <c r="C88" s="18" t="s">
        <v>529</v>
      </c>
      <c r="D88" s="18" t="s">
        <v>494</v>
      </c>
      <c r="E88" s="18" t="n">
        <v>0</v>
      </c>
      <c r="F88" s="18" t="n">
        <v>1</v>
      </c>
      <c r="G88" s="20" t="n">
        <v>0.0228</v>
      </c>
      <c r="H88" s="20" t="n">
        <v>0.0103</v>
      </c>
      <c r="I88" s="28" t="n">
        <v>201.3</v>
      </c>
      <c r="J88" s="28" t="n">
        <v>525.3</v>
      </c>
      <c r="K88" s="28" t="n">
        <v>101</v>
      </c>
      <c r="L88" s="29" t="n">
        <v>2.327</v>
      </c>
      <c r="M88" s="19" t="n">
        <v>0.923</v>
      </c>
      <c r="N88" s="28" t="n">
        <v>7.26</v>
      </c>
      <c r="O88" s="18" t="n">
        <v>29</v>
      </c>
      <c r="P88" s="18" t="n">
        <v>-1.25</v>
      </c>
      <c r="Q88" s="18" t="n">
        <v>-0.93</v>
      </c>
    </row>
    <row r="89" customFormat="false" ht="15" hidden="false" customHeight="false" outlineLevel="0" collapsed="false">
      <c r="A89" s="18" t="n">
        <v>22</v>
      </c>
      <c r="B89" s="18" t="s">
        <v>547</v>
      </c>
      <c r="C89" s="18" t="s">
        <v>529</v>
      </c>
      <c r="D89" s="18" t="s">
        <v>495</v>
      </c>
      <c r="E89" s="18" t="n">
        <v>1</v>
      </c>
      <c r="F89" s="18" t="n">
        <v>1</v>
      </c>
      <c r="G89" s="20" t="n">
        <v>0.0288</v>
      </c>
      <c r="H89" s="20" t="n">
        <v>0.0107</v>
      </c>
      <c r="I89" s="28" t="n">
        <v>188.5</v>
      </c>
      <c r="J89" s="28" t="n">
        <v>632.5</v>
      </c>
      <c r="K89" s="28" t="n">
        <v>108.5</v>
      </c>
      <c r="L89" s="29" t="n">
        <v>3.389</v>
      </c>
      <c r="M89" s="19" t="n">
        <v>1.154</v>
      </c>
      <c r="N89" s="28" t="n">
        <v>8.04</v>
      </c>
      <c r="O89" s="18" t="n">
        <v>29</v>
      </c>
      <c r="P89" s="18" t="n">
        <v>-1.25</v>
      </c>
      <c r="Q89" s="18" t="n">
        <v>-0.93</v>
      </c>
    </row>
    <row r="90" customFormat="false" ht="15" hidden="false" customHeight="false" outlineLevel="0" collapsed="false">
      <c r="A90" s="18" t="n">
        <v>23</v>
      </c>
      <c r="B90" s="18" t="s">
        <v>548</v>
      </c>
      <c r="C90" s="18" t="s">
        <v>519</v>
      </c>
      <c r="D90" s="18" t="s">
        <v>491</v>
      </c>
      <c r="E90" s="18" t="n">
        <v>0</v>
      </c>
      <c r="F90" s="18" t="n">
        <v>0</v>
      </c>
      <c r="G90" s="20" t="n">
        <v>-0.018</v>
      </c>
      <c r="H90" s="20" t="n">
        <v>0.0153</v>
      </c>
      <c r="I90" s="28" t="n">
        <v>156.9</v>
      </c>
      <c r="J90" s="28" t="n">
        <v>284.6</v>
      </c>
      <c r="K90" s="28" t="n">
        <v>84.1</v>
      </c>
      <c r="L90" s="18"/>
      <c r="M90" s="19" t="n">
        <v>1.578</v>
      </c>
      <c r="N90" s="28" t="n">
        <v>7.73</v>
      </c>
      <c r="O90" s="18" t="n">
        <v>30</v>
      </c>
      <c r="P90" s="18" t="n">
        <v>-1</v>
      </c>
      <c r="Q90" s="18" t="n">
        <v>-0.93</v>
      </c>
    </row>
    <row r="91" customFormat="false" ht="15" hidden="false" customHeight="false" outlineLevel="0" collapsed="false">
      <c r="A91" s="18" t="n">
        <v>23</v>
      </c>
      <c r="B91" s="18" t="s">
        <v>548</v>
      </c>
      <c r="C91" s="18" t="s">
        <v>519</v>
      </c>
      <c r="D91" s="18" t="s">
        <v>492</v>
      </c>
      <c r="E91" s="18" t="n">
        <v>1</v>
      </c>
      <c r="F91" s="18" t="n">
        <v>0</v>
      </c>
      <c r="G91" s="20" t="n">
        <v>-0.031</v>
      </c>
      <c r="H91" s="20" t="n">
        <v>0.0191</v>
      </c>
      <c r="I91" s="28" t="n">
        <v>134.3</v>
      </c>
      <c r="J91" s="28" t="n">
        <v>391.2</v>
      </c>
      <c r="K91" s="28" t="n">
        <v>78.8</v>
      </c>
      <c r="L91" s="18"/>
      <c r="M91" s="19" t="n">
        <v>1.137</v>
      </c>
      <c r="N91" s="28" t="n">
        <v>6.6</v>
      </c>
      <c r="O91" s="18" t="n">
        <v>30</v>
      </c>
      <c r="P91" s="18" t="n">
        <v>-1</v>
      </c>
      <c r="Q91" s="18" t="n">
        <v>-0.93</v>
      </c>
    </row>
    <row r="92" customFormat="false" ht="15" hidden="false" customHeight="false" outlineLevel="0" collapsed="false">
      <c r="A92" s="18" t="n">
        <v>23</v>
      </c>
      <c r="B92" s="18" t="s">
        <v>549</v>
      </c>
      <c r="C92" s="18" t="s">
        <v>519</v>
      </c>
      <c r="D92" s="18" t="s">
        <v>494</v>
      </c>
      <c r="E92" s="18" t="n">
        <v>0</v>
      </c>
      <c r="F92" s="18" t="n">
        <v>1</v>
      </c>
      <c r="G92" s="20" t="n">
        <v>-0.0004</v>
      </c>
      <c r="H92" s="20" t="n">
        <v>0.0202</v>
      </c>
      <c r="I92" s="28" t="n">
        <v>112</v>
      </c>
      <c r="J92" s="28" t="n">
        <v>287.3</v>
      </c>
      <c r="K92" s="28" t="n">
        <v>87.4</v>
      </c>
      <c r="L92" s="18"/>
      <c r="M92" s="19" t="n">
        <v>3.009</v>
      </c>
      <c r="N92" s="28" t="n">
        <v>8.73</v>
      </c>
      <c r="O92" s="18" t="n">
        <v>30</v>
      </c>
      <c r="P92" s="18" t="n">
        <v>-1</v>
      </c>
      <c r="Q92" s="18" t="n">
        <v>-0.93</v>
      </c>
    </row>
    <row r="93" customFormat="false" ht="15" hidden="false" customHeight="false" outlineLevel="0" collapsed="false">
      <c r="A93" s="18" t="n">
        <v>23</v>
      </c>
      <c r="B93" s="18" t="s">
        <v>549</v>
      </c>
      <c r="C93" s="18" t="s">
        <v>519</v>
      </c>
      <c r="D93" s="18" t="s">
        <v>495</v>
      </c>
      <c r="E93" s="18" t="n">
        <v>1</v>
      </c>
      <c r="F93" s="18" t="n">
        <v>1</v>
      </c>
      <c r="G93" s="20" t="n">
        <v>-0.0053</v>
      </c>
      <c r="H93" s="20" t="n">
        <v>0.0151</v>
      </c>
      <c r="I93" s="28" t="n">
        <v>152</v>
      </c>
      <c r="J93" s="28" t="n">
        <v>382.1</v>
      </c>
      <c r="K93" s="28" t="n">
        <v>95.9</v>
      </c>
      <c r="L93" s="29" t="n">
        <v>0.545</v>
      </c>
      <c r="M93" s="19" t="n">
        <v>2.212</v>
      </c>
      <c r="N93" s="28" t="n">
        <v>5.74</v>
      </c>
      <c r="O93" s="18" t="n">
        <v>30</v>
      </c>
      <c r="P93" s="18" t="n">
        <v>-1</v>
      </c>
      <c r="Q93" s="18" t="n">
        <v>-0.93</v>
      </c>
    </row>
    <row r="94" customFormat="false" ht="15" hidden="false" customHeight="false" outlineLevel="0" collapsed="false">
      <c r="A94" s="18" t="n">
        <v>24</v>
      </c>
      <c r="B94" s="18" t="s">
        <v>550</v>
      </c>
      <c r="C94" s="18" t="s">
        <v>490</v>
      </c>
      <c r="D94" s="18" t="s">
        <v>491</v>
      </c>
      <c r="E94" s="18" t="n">
        <v>0</v>
      </c>
      <c r="F94" s="18" t="n">
        <v>0</v>
      </c>
      <c r="G94" s="20" t="n">
        <v>-0.0518</v>
      </c>
      <c r="H94" s="20" t="n">
        <v>0.0076</v>
      </c>
      <c r="I94" s="28" t="n">
        <v>186.6</v>
      </c>
      <c r="J94" s="28" t="n">
        <v>529.1</v>
      </c>
      <c r="K94" s="28" t="n">
        <v>99.6</v>
      </c>
      <c r="L94" s="29" t="n">
        <v>1.367</v>
      </c>
      <c r="M94" s="19" t="n">
        <v>0.903</v>
      </c>
      <c r="N94" s="28" t="n">
        <v>7.66</v>
      </c>
      <c r="O94" s="18" t="n">
        <v>29</v>
      </c>
      <c r="P94" s="18" t="n">
        <v>-1.25</v>
      </c>
      <c r="Q94" s="18" t="n">
        <v>-0.93</v>
      </c>
    </row>
    <row r="95" customFormat="false" ht="15" hidden="false" customHeight="false" outlineLevel="0" collapsed="false">
      <c r="A95" s="18" t="n">
        <v>24</v>
      </c>
      <c r="B95" s="18" t="s">
        <v>550</v>
      </c>
      <c r="C95" s="18" t="s">
        <v>490</v>
      </c>
      <c r="D95" s="18" t="s">
        <v>492</v>
      </c>
      <c r="E95" s="18" t="n">
        <v>1</v>
      </c>
      <c r="F95" s="18" t="n">
        <v>0</v>
      </c>
      <c r="G95" s="20" t="n">
        <v>-0.0536</v>
      </c>
      <c r="H95" s="20" t="n">
        <v>0.0162</v>
      </c>
      <c r="I95" s="28" t="n">
        <v>193.5</v>
      </c>
      <c r="J95" s="28" t="n">
        <v>634.8</v>
      </c>
      <c r="K95" s="28" t="n">
        <v>98.6</v>
      </c>
      <c r="L95" s="18"/>
      <c r="M95" s="19" t="n">
        <v>0.605</v>
      </c>
      <c r="N95" s="28" t="n">
        <v>9.68</v>
      </c>
      <c r="O95" s="18" t="n">
        <v>29</v>
      </c>
      <c r="P95" s="18" t="n">
        <v>-1.25</v>
      </c>
      <c r="Q95" s="18" t="n">
        <v>-0.93</v>
      </c>
    </row>
    <row r="96" customFormat="false" ht="15" hidden="false" customHeight="false" outlineLevel="0" collapsed="false">
      <c r="A96" s="18" t="n">
        <v>24</v>
      </c>
      <c r="B96" s="18" t="s">
        <v>551</v>
      </c>
      <c r="C96" s="18" t="s">
        <v>490</v>
      </c>
      <c r="D96" s="18" t="s">
        <v>494</v>
      </c>
      <c r="E96" s="18" t="n">
        <v>0</v>
      </c>
      <c r="F96" s="18" t="n">
        <v>1</v>
      </c>
      <c r="G96" s="20" t="n">
        <v>0.0234</v>
      </c>
      <c r="H96" s="20" t="n">
        <v>0.0133</v>
      </c>
      <c r="I96" s="28" t="n">
        <v>217.5</v>
      </c>
      <c r="J96" s="28" t="n">
        <v>526</v>
      </c>
      <c r="K96" s="28" t="n">
        <v>92</v>
      </c>
      <c r="L96" s="29" t="n">
        <v>1.283</v>
      </c>
      <c r="M96" s="19" t="n">
        <v>1.473</v>
      </c>
      <c r="N96" s="28" t="n">
        <v>8.88</v>
      </c>
      <c r="O96" s="18" t="n">
        <v>28</v>
      </c>
      <c r="P96" s="18" t="n">
        <v>-1.25</v>
      </c>
      <c r="Q96" s="18" t="n">
        <v>-0.93</v>
      </c>
    </row>
    <row r="97" customFormat="false" ht="15" hidden="false" customHeight="false" outlineLevel="0" collapsed="false">
      <c r="A97" s="18" t="n">
        <v>24</v>
      </c>
      <c r="B97" s="18" t="s">
        <v>551</v>
      </c>
      <c r="C97" s="18" t="s">
        <v>490</v>
      </c>
      <c r="D97" s="18" t="s">
        <v>495</v>
      </c>
      <c r="E97" s="18" t="n">
        <v>1</v>
      </c>
      <c r="F97" s="18" t="n">
        <v>1</v>
      </c>
      <c r="G97" s="20" t="n">
        <v>0.0273</v>
      </c>
      <c r="H97" s="20" t="n">
        <v>0.0099</v>
      </c>
      <c r="I97" s="28" t="n">
        <v>170.4</v>
      </c>
      <c r="J97" s="28" t="n">
        <v>635.9</v>
      </c>
      <c r="K97" s="28" t="n">
        <v>87.1</v>
      </c>
      <c r="L97" s="18"/>
      <c r="M97" s="19" t="n">
        <v>0.957</v>
      </c>
      <c r="N97" s="28" t="n">
        <v>9.17</v>
      </c>
      <c r="O97" s="18" t="n">
        <v>28</v>
      </c>
      <c r="P97" s="18" t="n">
        <v>-1.25</v>
      </c>
      <c r="Q97" s="18" t="n">
        <v>-0.93</v>
      </c>
    </row>
    <row r="98" customFormat="false" ht="15" hidden="false" customHeight="false" outlineLevel="0" collapsed="false">
      <c r="A98" s="18" t="n">
        <v>25</v>
      </c>
      <c r="B98" s="18" t="s">
        <v>552</v>
      </c>
      <c r="C98" s="18" t="s">
        <v>512</v>
      </c>
      <c r="D98" s="18" t="s">
        <v>491</v>
      </c>
      <c r="E98" s="18" t="n">
        <v>0</v>
      </c>
      <c r="F98" s="18" t="n">
        <v>0</v>
      </c>
      <c r="G98" s="20" t="n">
        <v>-0.052</v>
      </c>
      <c r="H98" s="20" t="n">
        <v>0.0106</v>
      </c>
      <c r="I98" s="28" t="n">
        <v>198</v>
      </c>
      <c r="J98" s="28" t="n">
        <v>612.2</v>
      </c>
      <c r="K98" s="28" t="n">
        <v>105.1</v>
      </c>
      <c r="L98" s="18"/>
      <c r="M98" s="19" t="n">
        <v>0.842</v>
      </c>
      <c r="N98" s="28" t="n">
        <v>7.27</v>
      </c>
      <c r="O98" s="18" t="n">
        <v>30</v>
      </c>
      <c r="P98" s="18" t="n">
        <v>-1.25</v>
      </c>
      <c r="Q98" s="18" t="n">
        <v>-0.83</v>
      </c>
    </row>
    <row r="99" customFormat="false" ht="15" hidden="false" customHeight="false" outlineLevel="0" collapsed="false">
      <c r="A99" s="18" t="n">
        <v>25</v>
      </c>
      <c r="B99" s="18" t="s">
        <v>552</v>
      </c>
      <c r="C99" s="18" t="s">
        <v>512</v>
      </c>
      <c r="D99" s="18" t="s">
        <v>492</v>
      </c>
      <c r="E99" s="18" t="n">
        <v>1</v>
      </c>
      <c r="F99" s="18" t="n">
        <v>0</v>
      </c>
      <c r="G99" s="20" t="n">
        <v>-0.0597</v>
      </c>
      <c r="H99" s="20" t="n">
        <v>0.0094</v>
      </c>
      <c r="I99" s="28" t="n">
        <v>203.9</v>
      </c>
      <c r="J99" s="28" t="n">
        <v>716.5</v>
      </c>
      <c r="K99" s="28" t="n">
        <v>116.5</v>
      </c>
      <c r="L99" s="29" t="n">
        <v>1.423</v>
      </c>
      <c r="M99" s="19" t="n">
        <v>1.165</v>
      </c>
      <c r="N99" s="28" t="n">
        <v>7.16</v>
      </c>
      <c r="O99" s="18" t="n">
        <v>30</v>
      </c>
      <c r="P99" s="18" t="n">
        <v>-1.25</v>
      </c>
      <c r="Q99" s="18" t="n">
        <v>-0.83</v>
      </c>
    </row>
    <row r="100" customFormat="false" ht="15" hidden="false" customHeight="false" outlineLevel="0" collapsed="false">
      <c r="A100" s="18" t="n">
        <v>25</v>
      </c>
      <c r="B100" s="18" t="s">
        <v>553</v>
      </c>
      <c r="C100" s="18" t="s">
        <v>512</v>
      </c>
      <c r="D100" s="18" t="s">
        <v>494</v>
      </c>
      <c r="E100" s="18" t="n">
        <v>0</v>
      </c>
      <c r="F100" s="18" t="n">
        <v>1</v>
      </c>
      <c r="G100" s="20" t="n">
        <v>0.0706</v>
      </c>
      <c r="H100" s="20" t="n">
        <v>0.0108</v>
      </c>
      <c r="I100" s="28" t="n">
        <v>191.4</v>
      </c>
      <c r="J100" s="28" t="n">
        <v>613.2</v>
      </c>
      <c r="K100" s="28" t="n">
        <v>86.1</v>
      </c>
      <c r="L100" s="29" t="n">
        <v>0.763</v>
      </c>
      <c r="M100" s="19" t="n">
        <v>1.305</v>
      </c>
      <c r="N100" s="28" t="n">
        <v>8.08</v>
      </c>
      <c r="O100" s="18" t="n">
        <v>25</v>
      </c>
      <c r="P100" s="18" t="n">
        <v>-1.25</v>
      </c>
      <c r="Q100" s="18" t="n">
        <v>-0.83</v>
      </c>
    </row>
    <row r="101" customFormat="false" ht="15" hidden="false" customHeight="false" outlineLevel="0" collapsed="false">
      <c r="A101" s="18" t="n">
        <v>25</v>
      </c>
      <c r="B101" s="18" t="s">
        <v>553</v>
      </c>
      <c r="C101" s="18" t="s">
        <v>512</v>
      </c>
      <c r="D101" s="18" t="s">
        <v>495</v>
      </c>
      <c r="E101" s="18" t="n">
        <v>1</v>
      </c>
      <c r="F101" s="18" t="n">
        <v>1</v>
      </c>
      <c r="G101" s="20" t="n">
        <v>0.0493</v>
      </c>
      <c r="H101" s="20" t="n">
        <v>0.0089</v>
      </c>
      <c r="I101" s="28" t="n">
        <v>171.1</v>
      </c>
      <c r="J101" s="28" t="n">
        <v>723.2</v>
      </c>
      <c r="K101" s="28" t="n">
        <v>83.8</v>
      </c>
      <c r="L101" s="18"/>
      <c r="M101" s="19" t="n">
        <v>1.173</v>
      </c>
      <c r="N101" s="28" t="n">
        <v>6.99</v>
      </c>
      <c r="O101" s="18" t="n">
        <v>25</v>
      </c>
      <c r="P101" s="18" t="n">
        <v>-1.25</v>
      </c>
      <c r="Q101" s="18" t="n">
        <v>-0.83</v>
      </c>
    </row>
    <row r="102" customFormat="false" ht="15" hidden="false" customHeight="false" outlineLevel="0" collapsed="false">
      <c r="A102" s="18" t="n">
        <v>26</v>
      </c>
      <c r="B102" s="18" t="s">
        <v>554</v>
      </c>
      <c r="C102" s="18" t="s">
        <v>497</v>
      </c>
      <c r="D102" s="18" t="s">
        <v>491</v>
      </c>
      <c r="E102" s="18" t="n">
        <v>0</v>
      </c>
      <c r="F102" s="18" t="n">
        <v>0</v>
      </c>
      <c r="G102" s="20" t="n">
        <v>-0.0444</v>
      </c>
      <c r="H102" s="20" t="n">
        <v>0.0072</v>
      </c>
      <c r="I102" s="28" t="n">
        <v>187</v>
      </c>
      <c r="J102" s="28" t="n">
        <v>526.3</v>
      </c>
      <c r="K102" s="28" t="n">
        <v>93</v>
      </c>
      <c r="L102" s="18"/>
      <c r="M102" s="19" t="n">
        <v>0.892</v>
      </c>
      <c r="N102" s="28" t="n">
        <v>6.95</v>
      </c>
      <c r="O102" s="18" t="n">
        <v>25</v>
      </c>
      <c r="P102" s="18" t="n">
        <v>-1.25</v>
      </c>
      <c r="Q102" s="18" t="n">
        <v>-0.93</v>
      </c>
    </row>
    <row r="103" customFormat="false" ht="15" hidden="false" customHeight="false" outlineLevel="0" collapsed="false">
      <c r="A103" s="18" t="n">
        <v>26</v>
      </c>
      <c r="B103" s="18" t="s">
        <v>554</v>
      </c>
      <c r="C103" s="18" t="s">
        <v>497</v>
      </c>
      <c r="D103" s="18" t="s">
        <v>492</v>
      </c>
      <c r="E103" s="18" t="n">
        <v>1</v>
      </c>
      <c r="F103" s="18" t="n">
        <v>0</v>
      </c>
      <c r="G103" s="20" t="n">
        <v>-0.0612</v>
      </c>
      <c r="H103" s="20" t="n">
        <v>0.0067</v>
      </c>
      <c r="I103" s="28" t="n">
        <v>201.9</v>
      </c>
      <c r="J103" s="28" t="n">
        <v>633.9</v>
      </c>
      <c r="K103" s="28" t="n">
        <v>96.8</v>
      </c>
      <c r="L103" s="29" t="n">
        <v>2.281</v>
      </c>
      <c r="M103" s="19" t="n">
        <v>0.97</v>
      </c>
      <c r="N103" s="28" t="n">
        <v>7.12</v>
      </c>
      <c r="O103" s="18" t="n">
        <v>25</v>
      </c>
      <c r="P103" s="18" t="n">
        <v>-1.25</v>
      </c>
      <c r="Q103" s="18" t="n">
        <v>-0.93</v>
      </c>
    </row>
    <row r="104" customFormat="false" ht="15" hidden="false" customHeight="false" outlineLevel="0" collapsed="false">
      <c r="A104" s="18" t="n">
        <v>26</v>
      </c>
      <c r="B104" s="18" t="s">
        <v>555</v>
      </c>
      <c r="C104" s="18" t="s">
        <v>497</v>
      </c>
      <c r="D104" s="18" t="s">
        <v>494</v>
      </c>
      <c r="E104" s="18" t="n">
        <v>0</v>
      </c>
      <c r="F104" s="18" t="n">
        <v>1</v>
      </c>
      <c r="G104" s="20" t="n">
        <v>0.0433</v>
      </c>
      <c r="H104" s="20" t="n">
        <v>0.0115</v>
      </c>
      <c r="I104" s="28" t="n">
        <v>194</v>
      </c>
      <c r="J104" s="28" t="n">
        <v>532.3</v>
      </c>
      <c r="K104" s="28" t="n">
        <v>91.3</v>
      </c>
      <c r="L104" s="29" t="n">
        <v>0.648</v>
      </c>
      <c r="M104" s="19" t="n">
        <v>0.56</v>
      </c>
      <c r="N104" s="28" t="n">
        <v>8.14</v>
      </c>
      <c r="O104" s="18" t="n">
        <v>29</v>
      </c>
      <c r="P104" s="18" t="n">
        <v>-1.25</v>
      </c>
      <c r="Q104" s="18" t="n">
        <v>-0.93</v>
      </c>
    </row>
    <row r="105" customFormat="false" ht="15" hidden="false" customHeight="false" outlineLevel="0" collapsed="false">
      <c r="A105" s="18" t="n">
        <v>26</v>
      </c>
      <c r="B105" s="18" t="s">
        <v>555</v>
      </c>
      <c r="C105" s="18" t="s">
        <v>497</v>
      </c>
      <c r="D105" s="18" t="s">
        <v>495</v>
      </c>
      <c r="E105" s="18" t="n">
        <v>1</v>
      </c>
      <c r="F105" s="18" t="n">
        <v>1</v>
      </c>
      <c r="G105" s="20" t="n">
        <v>0.0247</v>
      </c>
      <c r="H105" s="20" t="n">
        <v>0.014</v>
      </c>
      <c r="I105" s="28" t="n">
        <v>210.7</v>
      </c>
      <c r="J105" s="28" t="n">
        <v>637.4</v>
      </c>
      <c r="K105" s="28" t="n">
        <v>90.6</v>
      </c>
      <c r="L105" s="29" t="n">
        <v>4.729</v>
      </c>
      <c r="M105" s="19" t="n">
        <v>1.245</v>
      </c>
      <c r="N105" s="28" t="n">
        <v>8.57</v>
      </c>
      <c r="O105" s="18" t="n">
        <v>29</v>
      </c>
      <c r="P105" s="18" t="n">
        <v>-1.25</v>
      </c>
      <c r="Q105" s="18" t="n">
        <v>-0.93</v>
      </c>
    </row>
    <row r="106" customFormat="false" ht="15" hidden="false" customHeight="false" outlineLevel="0" collapsed="false">
      <c r="A106" s="18" t="n">
        <v>27</v>
      </c>
      <c r="B106" s="18" t="s">
        <v>556</v>
      </c>
      <c r="C106" s="18" t="s">
        <v>490</v>
      </c>
      <c r="D106" s="18" t="s">
        <v>491</v>
      </c>
      <c r="E106" s="18" t="n">
        <v>0</v>
      </c>
      <c r="F106" s="18" t="n">
        <v>0</v>
      </c>
      <c r="G106" s="20" t="n">
        <v>-0.0671</v>
      </c>
      <c r="H106" s="20" t="n">
        <v>0.0138</v>
      </c>
      <c r="I106" s="28" t="n">
        <v>161.2</v>
      </c>
      <c r="J106" s="28" t="n">
        <v>542.8</v>
      </c>
      <c r="K106" s="28" t="n">
        <v>72.9</v>
      </c>
      <c r="L106" s="29" t="n">
        <v>0.805</v>
      </c>
      <c r="M106" s="19" t="n">
        <v>1.059</v>
      </c>
      <c r="N106" s="28" t="n">
        <v>7.28</v>
      </c>
      <c r="O106" s="18" t="n">
        <v>25</v>
      </c>
      <c r="P106" s="18" t="n">
        <v>-1.25</v>
      </c>
      <c r="Q106" s="18" t="n">
        <v>-0.93</v>
      </c>
    </row>
    <row r="107" customFormat="false" ht="15" hidden="false" customHeight="false" outlineLevel="0" collapsed="false">
      <c r="A107" s="18" t="n">
        <v>27</v>
      </c>
      <c r="B107" s="18" t="s">
        <v>556</v>
      </c>
      <c r="C107" s="18" t="s">
        <v>490</v>
      </c>
      <c r="D107" s="18" t="s">
        <v>492</v>
      </c>
      <c r="E107" s="18" t="n">
        <v>1</v>
      </c>
      <c r="F107" s="18" t="n">
        <v>0</v>
      </c>
      <c r="G107" s="20" t="n">
        <v>-0.0541</v>
      </c>
      <c r="H107" s="20" t="n">
        <v>0.013</v>
      </c>
      <c r="I107" s="28" t="n">
        <v>192.7</v>
      </c>
      <c r="J107" s="28" t="n">
        <v>644.8</v>
      </c>
      <c r="K107" s="28" t="n">
        <v>64.2</v>
      </c>
      <c r="L107" s="29" t="n">
        <v>5.616</v>
      </c>
      <c r="M107" s="19" t="n">
        <v>1.134</v>
      </c>
      <c r="N107" s="28" t="n">
        <v>7.46</v>
      </c>
      <c r="O107" s="18" t="n">
        <v>25</v>
      </c>
      <c r="P107" s="18" t="n">
        <v>-1.25</v>
      </c>
      <c r="Q107" s="18" t="n">
        <v>-0.93</v>
      </c>
    </row>
    <row r="108" customFormat="false" ht="15" hidden="false" customHeight="false" outlineLevel="0" collapsed="false">
      <c r="A108" s="18" t="n">
        <v>27</v>
      </c>
      <c r="B108" s="18" t="s">
        <v>557</v>
      </c>
      <c r="C108" s="18" t="s">
        <v>490</v>
      </c>
      <c r="D108" s="18" t="s">
        <v>494</v>
      </c>
      <c r="E108" s="18" t="n">
        <v>0</v>
      </c>
      <c r="F108" s="18" t="n">
        <v>1</v>
      </c>
      <c r="G108" s="20" t="n">
        <v>0.0687</v>
      </c>
      <c r="H108" s="20" t="n">
        <v>0.0088</v>
      </c>
      <c r="I108" s="28" t="n">
        <v>243.6</v>
      </c>
      <c r="J108" s="28" t="n">
        <v>533.4</v>
      </c>
      <c r="K108" s="28" t="n">
        <v>112.3</v>
      </c>
      <c r="L108" s="29" t="n">
        <v>2.306</v>
      </c>
      <c r="M108" s="19" t="n">
        <v>0.945</v>
      </c>
      <c r="N108" s="28" t="n">
        <v>7.29</v>
      </c>
      <c r="O108" s="18" t="n">
        <v>26</v>
      </c>
      <c r="P108" s="18" t="n">
        <v>-1.25</v>
      </c>
      <c r="Q108" s="18" t="n">
        <v>-0.93</v>
      </c>
    </row>
    <row r="109" customFormat="false" ht="15" hidden="false" customHeight="false" outlineLevel="0" collapsed="false">
      <c r="A109" s="18" t="n">
        <v>27</v>
      </c>
      <c r="B109" s="18" t="s">
        <v>557</v>
      </c>
      <c r="C109" s="18" t="s">
        <v>490</v>
      </c>
      <c r="D109" s="18" t="s">
        <v>495</v>
      </c>
      <c r="E109" s="18" t="n">
        <v>1</v>
      </c>
      <c r="F109" s="18" t="n">
        <v>1</v>
      </c>
      <c r="G109" s="20" t="n">
        <v>0.0282</v>
      </c>
      <c r="H109" s="20" t="n">
        <v>0.0166</v>
      </c>
      <c r="I109" s="28" t="n">
        <v>154.6</v>
      </c>
      <c r="J109" s="28" t="n">
        <v>645.9</v>
      </c>
      <c r="K109" s="28" t="n">
        <v>93.1</v>
      </c>
      <c r="L109" s="18"/>
      <c r="M109" s="19" t="n">
        <v>1.255</v>
      </c>
      <c r="N109" s="28" t="n">
        <v>6.55</v>
      </c>
      <c r="O109" s="18" t="n">
        <v>26</v>
      </c>
      <c r="P109" s="18" t="n">
        <v>-1.25</v>
      </c>
      <c r="Q109" s="18" t="n">
        <v>-0.93</v>
      </c>
    </row>
    <row r="110" customFormat="false" ht="15" hidden="false" customHeight="false" outlineLevel="0" collapsed="false">
      <c r="A110" s="18" t="n">
        <v>28</v>
      </c>
      <c r="B110" s="18" t="s">
        <v>558</v>
      </c>
      <c r="C110" s="18" t="s">
        <v>490</v>
      </c>
      <c r="D110" s="18" t="s">
        <v>491</v>
      </c>
      <c r="E110" s="18" t="n">
        <v>0</v>
      </c>
      <c r="F110" s="18" t="n">
        <v>0</v>
      </c>
      <c r="G110" s="20" t="n">
        <v>-0.0631</v>
      </c>
      <c r="H110" s="20" t="n">
        <v>0.0086</v>
      </c>
      <c r="I110" s="28" t="n">
        <v>183.4</v>
      </c>
      <c r="J110" s="28" t="n">
        <v>536.4</v>
      </c>
      <c r="K110" s="28" t="n">
        <v>78.3</v>
      </c>
      <c r="L110" s="18"/>
      <c r="M110" s="19" t="n">
        <v>1.326</v>
      </c>
      <c r="N110" s="28" t="n">
        <v>6.88</v>
      </c>
      <c r="O110" s="18" t="n">
        <v>26</v>
      </c>
      <c r="P110" s="18" t="n">
        <v>-1.25</v>
      </c>
      <c r="Q110" s="18" t="n">
        <v>-0.93</v>
      </c>
    </row>
    <row r="111" customFormat="false" ht="15" hidden="false" customHeight="false" outlineLevel="0" collapsed="false">
      <c r="A111" s="18" t="n">
        <v>28</v>
      </c>
      <c r="B111" s="18" t="s">
        <v>558</v>
      </c>
      <c r="C111" s="18" t="s">
        <v>490</v>
      </c>
      <c r="D111" s="18" t="s">
        <v>492</v>
      </c>
      <c r="E111" s="18" t="n">
        <v>1</v>
      </c>
      <c r="F111" s="18" t="n">
        <v>0</v>
      </c>
      <c r="G111" s="20" t="n">
        <v>-0.0459</v>
      </c>
      <c r="H111" s="20" t="n">
        <v>0.0081</v>
      </c>
      <c r="I111" s="28" t="n">
        <v>192.4</v>
      </c>
      <c r="J111" s="28" t="n">
        <v>640.1</v>
      </c>
      <c r="K111" s="28" t="n">
        <v>83.2</v>
      </c>
      <c r="L111" s="29" t="n">
        <v>3.392</v>
      </c>
      <c r="M111" s="19" t="n">
        <v>2.036</v>
      </c>
      <c r="N111" s="28" t="n">
        <v>8.11</v>
      </c>
      <c r="O111" s="18" t="n">
        <v>26</v>
      </c>
      <c r="P111" s="18" t="n">
        <v>-1.25</v>
      </c>
      <c r="Q111" s="18" t="n">
        <v>-0.93</v>
      </c>
    </row>
    <row r="112" customFormat="false" ht="15" hidden="false" customHeight="false" outlineLevel="0" collapsed="false">
      <c r="A112" s="18" t="n">
        <v>28</v>
      </c>
      <c r="B112" s="18" t="s">
        <v>559</v>
      </c>
      <c r="C112" s="18" t="s">
        <v>490</v>
      </c>
      <c r="D112" s="18" t="s">
        <v>494</v>
      </c>
      <c r="E112" s="18" t="n">
        <v>0</v>
      </c>
      <c r="F112" s="18" t="n">
        <v>1</v>
      </c>
      <c r="G112" s="20" t="n">
        <v>0.0374</v>
      </c>
      <c r="H112" s="20" t="n">
        <v>0.0126</v>
      </c>
      <c r="I112" s="28" t="n">
        <v>179.7</v>
      </c>
      <c r="J112" s="28" t="n">
        <v>533.4</v>
      </c>
      <c r="K112" s="28" t="n">
        <v>76.6</v>
      </c>
      <c r="L112" s="29" t="n">
        <v>2.807</v>
      </c>
      <c r="M112" s="19" t="n">
        <v>1.206</v>
      </c>
      <c r="N112" s="28" t="n">
        <v>7.28</v>
      </c>
      <c r="O112" s="18" t="n">
        <v>27</v>
      </c>
      <c r="P112" s="18" t="n">
        <v>-1.25</v>
      </c>
      <c r="Q112" s="18" t="n">
        <v>-0.93</v>
      </c>
    </row>
    <row r="113" customFormat="false" ht="15" hidden="false" customHeight="false" outlineLevel="0" collapsed="false">
      <c r="A113" s="18" t="n">
        <v>28</v>
      </c>
      <c r="B113" s="18" t="s">
        <v>559</v>
      </c>
      <c r="C113" s="18" t="s">
        <v>490</v>
      </c>
      <c r="D113" s="18" t="s">
        <v>495</v>
      </c>
      <c r="E113" s="18" t="n">
        <v>1</v>
      </c>
      <c r="F113" s="18" t="n">
        <v>1</v>
      </c>
      <c r="G113" s="20" t="n">
        <v>0.0273</v>
      </c>
      <c r="H113" s="20" t="n">
        <v>0.0075</v>
      </c>
      <c r="I113" s="28" t="n">
        <v>188.5</v>
      </c>
      <c r="J113" s="28" t="n">
        <v>638.5</v>
      </c>
      <c r="K113" s="28" t="n">
        <v>89.9</v>
      </c>
      <c r="L113" s="29" t="n">
        <v>4.066</v>
      </c>
      <c r="M113" s="19" t="n">
        <v>0.988</v>
      </c>
      <c r="N113" s="28" t="n">
        <v>7.61</v>
      </c>
      <c r="O113" s="18" t="n">
        <v>27</v>
      </c>
      <c r="P113" s="18" t="n">
        <v>-1.25</v>
      </c>
      <c r="Q113" s="18" t="n">
        <v>-0.93</v>
      </c>
    </row>
    <row r="114" customFormat="false" ht="15" hidden="false" customHeight="false" outlineLevel="0" collapsed="false">
      <c r="A114" s="18" t="n">
        <v>29</v>
      </c>
      <c r="B114" s="18" t="s">
        <v>560</v>
      </c>
      <c r="C114" s="18" t="s">
        <v>538</v>
      </c>
      <c r="D114" s="18" t="s">
        <v>491</v>
      </c>
      <c r="E114" s="18" t="n">
        <v>0</v>
      </c>
      <c r="F114" s="18" t="n">
        <v>0</v>
      </c>
      <c r="G114" s="20" t="n">
        <v>-0.0378</v>
      </c>
      <c r="H114" s="20" t="n">
        <v>0.0079</v>
      </c>
      <c r="I114" s="28" t="n">
        <v>176.5</v>
      </c>
      <c r="J114" s="28" t="n">
        <v>455</v>
      </c>
      <c r="K114" s="28" t="n">
        <v>92</v>
      </c>
      <c r="L114" s="29" t="n">
        <v>3.988</v>
      </c>
      <c r="M114" s="19" t="n">
        <v>1.24</v>
      </c>
      <c r="N114" s="28" t="n">
        <v>7.72</v>
      </c>
      <c r="O114" s="18" t="n">
        <v>27</v>
      </c>
      <c r="P114" s="18" t="n">
        <v>-1.25</v>
      </c>
      <c r="Q114" s="18" t="n">
        <v>-1.03</v>
      </c>
    </row>
    <row r="115" customFormat="false" ht="15" hidden="false" customHeight="false" outlineLevel="0" collapsed="false">
      <c r="A115" s="18" t="n">
        <v>29</v>
      </c>
      <c r="B115" s="18" t="s">
        <v>560</v>
      </c>
      <c r="C115" s="18" t="s">
        <v>538</v>
      </c>
      <c r="D115" s="18" t="s">
        <v>492</v>
      </c>
      <c r="E115" s="18" t="n">
        <v>1</v>
      </c>
      <c r="F115" s="18" t="n">
        <v>0</v>
      </c>
      <c r="G115" s="20" t="n">
        <v>-0.0318</v>
      </c>
      <c r="H115" s="20" t="n">
        <v>0.0089</v>
      </c>
      <c r="I115" s="28" t="n">
        <v>221.5</v>
      </c>
      <c r="J115" s="28" t="n">
        <v>558.1</v>
      </c>
      <c r="K115" s="28" t="n">
        <v>88.2</v>
      </c>
      <c r="L115" s="29" t="n">
        <v>2.311</v>
      </c>
      <c r="M115" s="19" t="n">
        <v>0.761</v>
      </c>
      <c r="N115" s="28" t="n">
        <v>9.18</v>
      </c>
      <c r="O115" s="18" t="n">
        <v>27</v>
      </c>
      <c r="P115" s="18" t="n">
        <v>-1.25</v>
      </c>
      <c r="Q115" s="18" t="n">
        <v>-1.03</v>
      </c>
    </row>
    <row r="116" customFormat="false" ht="15" hidden="false" customHeight="false" outlineLevel="0" collapsed="false">
      <c r="A116" s="18" t="n">
        <v>29</v>
      </c>
      <c r="B116" s="18" t="s">
        <v>561</v>
      </c>
      <c r="C116" s="18" t="s">
        <v>538</v>
      </c>
      <c r="D116" s="18" t="s">
        <v>494</v>
      </c>
      <c r="E116" s="18" t="n">
        <v>0</v>
      </c>
      <c r="F116" s="18" t="n">
        <v>1</v>
      </c>
      <c r="G116" s="20" t="n">
        <v>0.0271</v>
      </c>
      <c r="H116" s="20" t="n">
        <v>0.0108</v>
      </c>
      <c r="I116" s="28" t="n">
        <v>168.3</v>
      </c>
      <c r="J116" s="28" t="n">
        <v>455.5</v>
      </c>
      <c r="K116" s="28" t="n">
        <v>99.5</v>
      </c>
      <c r="L116" s="29" t="n">
        <v>5.138</v>
      </c>
      <c r="M116" s="19" t="n">
        <v>0.767</v>
      </c>
      <c r="N116" s="28" t="n">
        <v>7.54</v>
      </c>
      <c r="O116" s="18" t="n">
        <v>27</v>
      </c>
      <c r="P116" s="18" t="n">
        <v>-1.25</v>
      </c>
      <c r="Q116" s="18" t="n">
        <v>-1.03</v>
      </c>
    </row>
    <row r="117" customFormat="false" ht="15" hidden="false" customHeight="false" outlineLevel="0" collapsed="false">
      <c r="A117" s="18" t="n">
        <v>29</v>
      </c>
      <c r="B117" s="18" t="s">
        <v>561</v>
      </c>
      <c r="C117" s="18" t="s">
        <v>538</v>
      </c>
      <c r="D117" s="18" t="s">
        <v>495</v>
      </c>
      <c r="E117" s="18" t="n">
        <v>1</v>
      </c>
      <c r="F117" s="18" t="n">
        <v>1</v>
      </c>
      <c r="G117" s="20" t="n">
        <v>0.0363</v>
      </c>
      <c r="H117" s="20" t="n">
        <v>0.0121</v>
      </c>
      <c r="I117" s="28" t="n">
        <v>171.5</v>
      </c>
      <c r="J117" s="28" t="n">
        <v>560.6</v>
      </c>
      <c r="K117" s="28" t="n">
        <v>88.4</v>
      </c>
      <c r="L117" s="29" t="n">
        <v>2.124</v>
      </c>
      <c r="M117" s="19" t="n">
        <v>0.734</v>
      </c>
      <c r="N117" s="28" t="n">
        <v>6.85</v>
      </c>
      <c r="O117" s="18" t="n">
        <v>27</v>
      </c>
      <c r="P117" s="18" t="n">
        <v>-1.25</v>
      </c>
      <c r="Q117" s="18" t="n">
        <v>-1.03</v>
      </c>
    </row>
    <row r="118" customFormat="false" ht="15" hidden="false" customHeight="false" outlineLevel="0" collapsed="false">
      <c r="A118" s="18" t="n">
        <v>30</v>
      </c>
      <c r="B118" s="18" t="s">
        <v>562</v>
      </c>
      <c r="C118" s="18" t="s">
        <v>503</v>
      </c>
      <c r="D118" s="18" t="s">
        <v>491</v>
      </c>
      <c r="E118" s="18" t="n">
        <v>0</v>
      </c>
      <c r="F118" s="18" t="n">
        <v>0</v>
      </c>
      <c r="G118" s="20" t="n">
        <v>-0.0563</v>
      </c>
      <c r="H118" s="20" t="n">
        <v>0.0104</v>
      </c>
      <c r="I118" s="28" t="n">
        <v>223.3</v>
      </c>
      <c r="J118" s="28" t="n">
        <v>880</v>
      </c>
      <c r="K118" s="28" t="n">
        <v>86.3</v>
      </c>
      <c r="L118" s="29" t="n">
        <v>0.944</v>
      </c>
      <c r="M118" s="19" t="n">
        <v>1.2</v>
      </c>
      <c r="N118" s="28" t="n">
        <v>11.85</v>
      </c>
      <c r="O118" s="18" t="n">
        <v>25</v>
      </c>
      <c r="P118" s="18" t="n">
        <v>-1.5</v>
      </c>
      <c r="Q118" s="18" t="n">
        <v>-0.93</v>
      </c>
    </row>
    <row r="119" customFormat="false" ht="15" hidden="false" customHeight="false" outlineLevel="0" collapsed="false">
      <c r="A119" s="18" t="n">
        <v>30</v>
      </c>
      <c r="B119" s="18" t="s">
        <v>562</v>
      </c>
      <c r="C119" s="18" t="s">
        <v>503</v>
      </c>
      <c r="D119" s="18" t="s">
        <v>492</v>
      </c>
      <c r="E119" s="18" t="n">
        <v>1</v>
      </c>
      <c r="F119" s="18" t="n">
        <v>0</v>
      </c>
      <c r="G119" s="20" t="n">
        <v>-0.0588</v>
      </c>
      <c r="H119" s="20" t="n">
        <v>0.0093</v>
      </c>
      <c r="I119" s="28" t="n">
        <v>206.4</v>
      </c>
      <c r="J119" s="28" t="n">
        <v>988.5</v>
      </c>
      <c r="K119" s="28" t="n">
        <v>86.2</v>
      </c>
      <c r="L119" s="29" t="n">
        <v>3.037</v>
      </c>
      <c r="M119" s="19" t="n">
        <v>1.923</v>
      </c>
      <c r="N119" s="28" t="n">
        <v>8.01</v>
      </c>
      <c r="O119" s="18" t="n">
        <v>25</v>
      </c>
      <c r="P119" s="18" t="n">
        <v>-1.5</v>
      </c>
      <c r="Q119" s="18" t="n">
        <v>-0.93</v>
      </c>
    </row>
    <row r="120" customFormat="false" ht="15" hidden="false" customHeight="false" outlineLevel="0" collapsed="false">
      <c r="A120" s="18" t="n">
        <v>30</v>
      </c>
      <c r="B120" s="18" t="s">
        <v>563</v>
      </c>
      <c r="C120" s="18" t="s">
        <v>503</v>
      </c>
      <c r="D120" s="18" t="s">
        <v>494</v>
      </c>
      <c r="E120" s="18" t="n">
        <v>0</v>
      </c>
      <c r="F120" s="18" t="n">
        <v>1</v>
      </c>
      <c r="G120" s="20" t="n">
        <v>0.0856</v>
      </c>
      <c r="H120" s="20" t="n">
        <v>0.0115</v>
      </c>
      <c r="I120" s="28" t="n">
        <v>239.6</v>
      </c>
      <c r="J120" s="28" t="n">
        <v>874.4</v>
      </c>
      <c r="K120" s="28" t="n">
        <v>93.3</v>
      </c>
      <c r="L120" s="29" t="n">
        <v>0.562</v>
      </c>
      <c r="M120" s="19" t="n">
        <v>1.079</v>
      </c>
      <c r="N120" s="28" t="n">
        <v>9.04</v>
      </c>
      <c r="O120" s="18" t="n">
        <v>27</v>
      </c>
      <c r="P120" s="18" t="n">
        <v>-1.5</v>
      </c>
      <c r="Q120" s="18" t="n">
        <v>-0.93</v>
      </c>
    </row>
    <row r="121" customFormat="false" ht="15" hidden="false" customHeight="false" outlineLevel="0" collapsed="false">
      <c r="A121" s="18" t="n">
        <v>30</v>
      </c>
      <c r="B121" s="18" t="s">
        <v>563</v>
      </c>
      <c r="C121" s="18" t="s">
        <v>503</v>
      </c>
      <c r="D121" s="18" t="s">
        <v>495</v>
      </c>
      <c r="E121" s="18" t="n">
        <v>1</v>
      </c>
      <c r="F121" s="18" t="n">
        <v>1</v>
      </c>
      <c r="G121" s="20" t="n">
        <v>0.0509</v>
      </c>
      <c r="H121" s="20" t="n">
        <v>0.018</v>
      </c>
      <c r="I121" s="28" t="n">
        <v>221.8</v>
      </c>
      <c r="J121" s="28" t="n">
        <v>985.6</v>
      </c>
      <c r="K121" s="28" t="n">
        <v>99</v>
      </c>
      <c r="L121" s="18"/>
      <c r="M121" s="19" t="n">
        <v>1.845</v>
      </c>
      <c r="N121" s="28" t="n">
        <v>9.81</v>
      </c>
      <c r="O121" s="18" t="n">
        <v>27</v>
      </c>
      <c r="P121" s="18" t="n">
        <v>-1.5</v>
      </c>
      <c r="Q121" s="18" t="n">
        <v>-0.93</v>
      </c>
    </row>
    <row r="122" customFormat="false" ht="15" hidden="false" customHeight="false" outlineLevel="0" collapsed="false">
      <c r="A122" s="18" t="n">
        <v>31</v>
      </c>
      <c r="B122" s="18" t="s">
        <v>564</v>
      </c>
      <c r="C122" s="18" t="s">
        <v>500</v>
      </c>
      <c r="D122" s="18" t="s">
        <v>491</v>
      </c>
      <c r="E122" s="18" t="n">
        <v>0</v>
      </c>
      <c r="F122" s="18" t="n">
        <v>0</v>
      </c>
      <c r="G122" s="20" t="n">
        <v>-0.038</v>
      </c>
      <c r="H122" s="20" t="n">
        <v>0.0103</v>
      </c>
      <c r="I122" s="28" t="n">
        <v>184.1</v>
      </c>
      <c r="J122" s="28" t="n">
        <v>527.8</v>
      </c>
      <c r="K122" s="28" t="n">
        <v>137.2</v>
      </c>
      <c r="L122" s="18"/>
      <c r="M122" s="19" t="n">
        <v>0.721</v>
      </c>
      <c r="N122" s="28" t="n">
        <v>8.18</v>
      </c>
      <c r="O122" s="18" t="n">
        <v>33</v>
      </c>
      <c r="P122" s="18" t="n">
        <v>-1.25</v>
      </c>
      <c r="Q122" s="18" t="n">
        <v>-0.93</v>
      </c>
    </row>
    <row r="123" customFormat="false" ht="15" hidden="false" customHeight="false" outlineLevel="0" collapsed="false">
      <c r="A123" s="18" t="n">
        <v>31</v>
      </c>
      <c r="B123" s="18" t="s">
        <v>564</v>
      </c>
      <c r="C123" s="18" t="s">
        <v>500</v>
      </c>
      <c r="D123" s="18" t="s">
        <v>492</v>
      </c>
      <c r="E123" s="18" t="n">
        <v>1</v>
      </c>
      <c r="F123" s="18" t="n">
        <v>0</v>
      </c>
      <c r="G123" s="20" t="n">
        <v>-0.0515</v>
      </c>
      <c r="H123" s="20" t="n">
        <v>0.0059</v>
      </c>
      <c r="I123" s="28" t="n">
        <v>178.6</v>
      </c>
      <c r="J123" s="28" t="n">
        <v>634.9</v>
      </c>
      <c r="K123" s="28" t="n">
        <v>130.4</v>
      </c>
      <c r="L123" s="29" t="n">
        <v>2.495</v>
      </c>
      <c r="M123" s="19" t="n">
        <v>0.755</v>
      </c>
      <c r="N123" s="28" t="n">
        <v>7.19</v>
      </c>
      <c r="O123" s="18" t="n">
        <v>33</v>
      </c>
      <c r="P123" s="18" t="n">
        <v>-1.25</v>
      </c>
      <c r="Q123" s="18" t="n">
        <v>-0.93</v>
      </c>
    </row>
    <row r="124" customFormat="false" ht="15" hidden="false" customHeight="false" outlineLevel="0" collapsed="false">
      <c r="A124" s="18" t="n">
        <v>31</v>
      </c>
      <c r="B124" s="18" t="s">
        <v>565</v>
      </c>
      <c r="C124" s="18" t="s">
        <v>500</v>
      </c>
      <c r="D124" s="18" t="s">
        <v>494</v>
      </c>
      <c r="E124" s="18" t="n">
        <v>0</v>
      </c>
      <c r="F124" s="18" t="n">
        <v>1</v>
      </c>
      <c r="G124" s="20" t="n">
        <v>0.0616</v>
      </c>
      <c r="H124" s="20" t="n">
        <v>0.0079</v>
      </c>
      <c r="I124" s="28" t="n">
        <v>186.7</v>
      </c>
      <c r="J124" s="28" t="n">
        <v>530.9</v>
      </c>
      <c r="K124" s="28" t="n">
        <v>95.7</v>
      </c>
      <c r="L124" s="18"/>
      <c r="M124" s="19" t="n">
        <v>0.979</v>
      </c>
      <c r="N124" s="28" t="n">
        <v>6.11</v>
      </c>
      <c r="O124" s="18" t="n">
        <v>29</v>
      </c>
      <c r="P124" s="18" t="n">
        <v>-1.25</v>
      </c>
      <c r="Q124" s="18" t="n">
        <v>-0.93</v>
      </c>
    </row>
    <row r="125" customFormat="false" ht="15" hidden="false" customHeight="false" outlineLevel="0" collapsed="false">
      <c r="A125" s="18" t="n">
        <v>31</v>
      </c>
      <c r="B125" s="18" t="s">
        <v>565</v>
      </c>
      <c r="C125" s="18" t="s">
        <v>500</v>
      </c>
      <c r="D125" s="18" t="s">
        <v>495</v>
      </c>
      <c r="E125" s="18" t="n">
        <v>1</v>
      </c>
      <c r="F125" s="18" t="n">
        <v>1</v>
      </c>
      <c r="G125" s="20" t="n">
        <v>0.0334</v>
      </c>
      <c r="H125" s="20" t="n">
        <v>0.0063</v>
      </c>
      <c r="I125" s="28" t="n">
        <v>193.8</v>
      </c>
      <c r="J125" s="28" t="n">
        <v>635.3</v>
      </c>
      <c r="K125" s="28" t="n">
        <v>114.3</v>
      </c>
      <c r="L125" s="29" t="n">
        <v>0.356</v>
      </c>
      <c r="M125" s="19" t="n">
        <v>1.04</v>
      </c>
      <c r="N125" s="28" t="n">
        <v>7.49</v>
      </c>
      <c r="O125" s="18" t="n">
        <v>29</v>
      </c>
      <c r="P125" s="18" t="n">
        <v>-1.25</v>
      </c>
      <c r="Q125" s="18" t="n">
        <v>-0.93</v>
      </c>
    </row>
    <row r="126" customFormat="false" ht="15" hidden="false" customHeight="false" outlineLevel="0" collapsed="false">
      <c r="A126" s="18" t="n">
        <v>32</v>
      </c>
      <c r="B126" s="18" t="s">
        <v>566</v>
      </c>
      <c r="C126" s="18" t="s">
        <v>500</v>
      </c>
      <c r="D126" s="18" t="s">
        <v>491</v>
      </c>
      <c r="E126" s="18" t="n">
        <v>0</v>
      </c>
      <c r="F126" s="18" t="n">
        <v>0</v>
      </c>
      <c r="G126" s="20" t="n">
        <v>-0.0578</v>
      </c>
      <c r="H126" s="20" t="n">
        <v>0.0076</v>
      </c>
      <c r="I126" s="28" t="n">
        <v>200.1</v>
      </c>
      <c r="J126" s="28" t="n">
        <v>527.8</v>
      </c>
      <c r="K126" s="28" t="n">
        <v>135.2</v>
      </c>
      <c r="L126" s="18"/>
      <c r="M126" s="19" t="n">
        <v>0.812</v>
      </c>
      <c r="N126" s="28" t="n">
        <v>8.37</v>
      </c>
      <c r="O126" s="18" t="n">
        <v>32</v>
      </c>
      <c r="P126" s="18" t="n">
        <v>-1.25</v>
      </c>
      <c r="Q126" s="18" t="n">
        <v>-0.93</v>
      </c>
    </row>
    <row r="127" customFormat="false" ht="15" hidden="false" customHeight="false" outlineLevel="0" collapsed="false">
      <c r="A127" s="18" t="n">
        <v>32</v>
      </c>
      <c r="B127" s="18" t="s">
        <v>566</v>
      </c>
      <c r="C127" s="18" t="s">
        <v>500</v>
      </c>
      <c r="D127" s="18" t="s">
        <v>492</v>
      </c>
      <c r="E127" s="18" t="n">
        <v>1</v>
      </c>
      <c r="F127" s="18" t="n">
        <v>0</v>
      </c>
      <c r="G127" s="20" t="n">
        <v>-0.0431</v>
      </c>
      <c r="H127" s="20" t="n">
        <v>0.0068</v>
      </c>
      <c r="I127" s="28" t="n">
        <v>187.1</v>
      </c>
      <c r="J127" s="28" t="n">
        <v>634.1</v>
      </c>
      <c r="K127" s="28" t="n">
        <v>133.2</v>
      </c>
      <c r="L127" s="18"/>
      <c r="M127" s="19" t="n">
        <v>0.541</v>
      </c>
      <c r="N127" s="28" t="n">
        <v>6.59</v>
      </c>
      <c r="O127" s="18" t="n">
        <v>32</v>
      </c>
      <c r="P127" s="18" t="n">
        <v>-1.25</v>
      </c>
      <c r="Q127" s="18" t="n">
        <v>-0.93</v>
      </c>
    </row>
    <row r="128" customFormat="false" ht="15" hidden="false" customHeight="false" outlineLevel="0" collapsed="false">
      <c r="A128" s="18" t="n">
        <v>32</v>
      </c>
      <c r="B128" s="18" t="s">
        <v>567</v>
      </c>
      <c r="C128" s="18" t="s">
        <v>500</v>
      </c>
      <c r="D128" s="18" t="s">
        <v>494</v>
      </c>
      <c r="E128" s="18" t="n">
        <v>0</v>
      </c>
      <c r="F128" s="18" t="n">
        <v>1</v>
      </c>
      <c r="G128" s="20" t="n">
        <v>0.0267</v>
      </c>
      <c r="H128" s="20" t="n">
        <v>0.0088</v>
      </c>
      <c r="I128" s="28" t="n">
        <v>178.9</v>
      </c>
      <c r="J128" s="28" t="n">
        <v>532.6</v>
      </c>
      <c r="K128" s="28" t="n">
        <v>134.4</v>
      </c>
      <c r="L128" s="18"/>
      <c r="M128" s="19" t="n">
        <v>0.878</v>
      </c>
      <c r="N128" s="28" t="n">
        <v>10.47</v>
      </c>
      <c r="O128" s="18" t="n">
        <v>33</v>
      </c>
      <c r="P128" s="18" t="n">
        <v>-1.25</v>
      </c>
      <c r="Q128" s="18" t="n">
        <v>-0.93</v>
      </c>
    </row>
    <row r="129" customFormat="false" ht="15" hidden="false" customHeight="false" outlineLevel="0" collapsed="false">
      <c r="A129" s="18" t="n">
        <v>32</v>
      </c>
      <c r="B129" s="18" t="s">
        <v>567</v>
      </c>
      <c r="C129" s="18" t="s">
        <v>500</v>
      </c>
      <c r="D129" s="18" t="s">
        <v>495</v>
      </c>
      <c r="E129" s="18" t="n">
        <v>1</v>
      </c>
      <c r="F129" s="18" t="n">
        <v>1</v>
      </c>
      <c r="G129" s="20" t="n">
        <v>0.0234</v>
      </c>
      <c r="H129" s="20" t="n">
        <v>0.0076</v>
      </c>
      <c r="I129" s="28" t="n">
        <v>186.1</v>
      </c>
      <c r="J129" s="28" t="n">
        <v>636.5</v>
      </c>
      <c r="K129" s="28" t="n">
        <v>140.8</v>
      </c>
      <c r="L129" s="29" t="n">
        <v>2.558</v>
      </c>
      <c r="M129" s="19" t="n">
        <v>1.758</v>
      </c>
      <c r="N129" s="28" t="n">
        <v>7.2</v>
      </c>
      <c r="O129" s="18" t="n">
        <v>33</v>
      </c>
      <c r="P129" s="18" t="n">
        <v>-1.25</v>
      </c>
      <c r="Q129" s="18" t="n">
        <v>-0.93</v>
      </c>
    </row>
    <row r="130" customFormat="false" ht="15" hidden="false" customHeight="false" outlineLevel="0" collapsed="false">
      <c r="A130" s="18" t="n">
        <v>33</v>
      </c>
      <c r="B130" s="18" t="s">
        <v>568</v>
      </c>
      <c r="C130" s="18" t="s">
        <v>500</v>
      </c>
      <c r="D130" s="18" t="s">
        <v>491</v>
      </c>
      <c r="E130" s="18" t="n">
        <v>0</v>
      </c>
      <c r="F130" s="18" t="n">
        <v>0</v>
      </c>
      <c r="G130" s="20" t="n">
        <v>-0.0439</v>
      </c>
      <c r="H130" s="20" t="n">
        <v>0.0086</v>
      </c>
      <c r="I130" s="28" t="n">
        <v>189.2</v>
      </c>
      <c r="J130" s="28" t="n">
        <v>529.7</v>
      </c>
      <c r="K130" s="28" t="n">
        <v>111</v>
      </c>
      <c r="L130" s="29" t="n">
        <v>2.662</v>
      </c>
      <c r="M130" s="19" t="n">
        <v>0.627</v>
      </c>
      <c r="N130" s="28" t="n">
        <v>6.93</v>
      </c>
      <c r="O130" s="18" t="n">
        <v>32</v>
      </c>
      <c r="P130" s="18" t="n">
        <v>-1.25</v>
      </c>
      <c r="Q130" s="18" t="n">
        <v>-0.93</v>
      </c>
    </row>
    <row r="131" customFormat="false" ht="15" hidden="false" customHeight="false" outlineLevel="0" collapsed="false">
      <c r="A131" s="18" t="n">
        <v>33</v>
      </c>
      <c r="B131" s="18" t="s">
        <v>568</v>
      </c>
      <c r="C131" s="18" t="s">
        <v>500</v>
      </c>
      <c r="D131" s="18" t="s">
        <v>492</v>
      </c>
      <c r="E131" s="18" t="n">
        <v>1</v>
      </c>
      <c r="F131" s="18" t="n">
        <v>0</v>
      </c>
      <c r="G131" s="20" t="n">
        <v>-0.0551</v>
      </c>
      <c r="H131" s="20" t="n">
        <v>0.0112</v>
      </c>
      <c r="I131" s="28" t="n">
        <v>193.5</v>
      </c>
      <c r="J131" s="28" t="n">
        <v>635.2</v>
      </c>
      <c r="K131" s="28" t="n">
        <v>110.5</v>
      </c>
      <c r="L131" s="29" t="n">
        <v>4.993</v>
      </c>
      <c r="M131" s="19" t="n">
        <v>0.746</v>
      </c>
      <c r="N131" s="28" t="n">
        <v>7.38</v>
      </c>
      <c r="O131" s="18" t="n">
        <v>32</v>
      </c>
      <c r="P131" s="18" t="n">
        <v>-1.25</v>
      </c>
      <c r="Q131" s="18" t="n">
        <v>-0.93</v>
      </c>
    </row>
    <row r="132" customFormat="false" ht="15" hidden="false" customHeight="false" outlineLevel="0" collapsed="false">
      <c r="A132" s="18" t="n">
        <v>33</v>
      </c>
      <c r="B132" s="18" t="s">
        <v>569</v>
      </c>
      <c r="C132" s="18" t="s">
        <v>500</v>
      </c>
      <c r="D132" s="18" t="s">
        <v>494</v>
      </c>
      <c r="E132" s="18" t="n">
        <v>0</v>
      </c>
      <c r="F132" s="18" t="n">
        <v>1</v>
      </c>
      <c r="G132" s="20" t="n">
        <v>0.0253</v>
      </c>
      <c r="H132" s="20" t="n">
        <v>0.0154</v>
      </c>
      <c r="I132" s="28" t="n">
        <v>189.1</v>
      </c>
      <c r="J132" s="28" t="n">
        <v>527.8</v>
      </c>
      <c r="K132" s="28" t="n">
        <v>131.2</v>
      </c>
      <c r="L132" s="29" t="n">
        <v>1.834</v>
      </c>
      <c r="M132" s="19" t="n">
        <v>1.461</v>
      </c>
      <c r="N132" s="28" t="n">
        <v>9.07</v>
      </c>
      <c r="O132" s="18" t="n">
        <v>33</v>
      </c>
      <c r="P132" s="18" t="n">
        <v>-1.25</v>
      </c>
      <c r="Q132" s="18" t="n">
        <v>-0.93</v>
      </c>
    </row>
    <row r="133" customFormat="false" ht="15" hidden="false" customHeight="false" outlineLevel="0" collapsed="false">
      <c r="A133" s="18" t="n">
        <v>33</v>
      </c>
      <c r="B133" s="18" t="s">
        <v>569</v>
      </c>
      <c r="C133" s="18" t="s">
        <v>500</v>
      </c>
      <c r="D133" s="18" t="s">
        <v>495</v>
      </c>
      <c r="E133" s="18" t="n">
        <v>1</v>
      </c>
      <c r="F133" s="18" t="n">
        <v>1</v>
      </c>
      <c r="G133" s="20" t="n">
        <v>0.0154</v>
      </c>
      <c r="H133" s="20" t="n">
        <v>0.0125</v>
      </c>
      <c r="I133" s="28" t="n">
        <v>202.6</v>
      </c>
      <c r="J133" s="28" t="n">
        <v>632.2</v>
      </c>
      <c r="K133" s="28" t="n">
        <v>144.4</v>
      </c>
      <c r="L133" s="29" t="n">
        <v>1.472</v>
      </c>
      <c r="M133" s="19" t="n">
        <v>0.764</v>
      </c>
      <c r="N133" s="28" t="n">
        <v>7.62</v>
      </c>
      <c r="O133" s="18" t="n">
        <v>33</v>
      </c>
      <c r="P133" s="18" t="n">
        <v>-1.25</v>
      </c>
      <c r="Q133" s="18" t="n">
        <v>-0.93</v>
      </c>
    </row>
    <row r="134" customFormat="false" ht="15" hidden="false" customHeight="false" outlineLevel="0" collapsed="false">
      <c r="A134" s="18" t="n">
        <v>34</v>
      </c>
      <c r="B134" s="18" t="s">
        <v>570</v>
      </c>
      <c r="C134" s="18" t="s">
        <v>522</v>
      </c>
      <c r="D134" s="18" t="s">
        <v>491</v>
      </c>
      <c r="E134" s="18" t="n">
        <v>0</v>
      </c>
      <c r="F134" s="18" t="n">
        <v>0</v>
      </c>
      <c r="G134" s="20" t="n">
        <v>-0.0571</v>
      </c>
      <c r="H134" s="20" t="n">
        <v>0.0136</v>
      </c>
      <c r="I134" s="28" t="n">
        <v>178.4</v>
      </c>
      <c r="J134" s="28" t="n">
        <v>536.1</v>
      </c>
      <c r="K134" s="28" t="n">
        <v>159.5</v>
      </c>
      <c r="L134" s="29" t="n">
        <v>5.669</v>
      </c>
      <c r="M134" s="19" t="n">
        <v>0.805</v>
      </c>
      <c r="N134" s="28" t="n">
        <v>7.58</v>
      </c>
      <c r="O134" s="18" t="n">
        <v>36</v>
      </c>
      <c r="P134" s="18" t="n">
        <v>-1.25</v>
      </c>
      <c r="Q134" s="18" t="n">
        <v>-0.93</v>
      </c>
    </row>
    <row r="135" customFormat="false" ht="15" hidden="false" customHeight="false" outlineLevel="0" collapsed="false">
      <c r="A135" s="18" t="n">
        <v>34</v>
      </c>
      <c r="B135" s="18" t="s">
        <v>570</v>
      </c>
      <c r="C135" s="18" t="s">
        <v>522</v>
      </c>
      <c r="D135" s="18" t="s">
        <v>492</v>
      </c>
      <c r="E135" s="18" t="n">
        <v>1</v>
      </c>
      <c r="F135" s="18" t="n">
        <v>0</v>
      </c>
      <c r="G135" s="20" t="n">
        <v>-0.0702</v>
      </c>
      <c r="H135" s="20" t="n">
        <v>0.0162</v>
      </c>
      <c r="I135" s="28" t="n">
        <v>170</v>
      </c>
      <c r="J135" s="28" t="n">
        <v>640.7</v>
      </c>
      <c r="K135" s="28" t="n">
        <v>146.3</v>
      </c>
      <c r="L135" s="29" t="n">
        <v>3.048</v>
      </c>
      <c r="M135" s="19" t="n">
        <v>1.401</v>
      </c>
      <c r="N135" s="28" t="n">
        <v>8.01</v>
      </c>
      <c r="O135" s="18" t="n">
        <v>36</v>
      </c>
      <c r="P135" s="18" t="n">
        <v>-1.25</v>
      </c>
      <c r="Q135" s="18" t="n">
        <v>-0.93</v>
      </c>
    </row>
    <row r="136" customFormat="false" ht="15" hidden="false" customHeight="false" outlineLevel="0" collapsed="false">
      <c r="A136" s="18" t="n">
        <v>34</v>
      </c>
      <c r="B136" s="18" t="s">
        <v>571</v>
      </c>
      <c r="C136" s="18" t="s">
        <v>522</v>
      </c>
      <c r="D136" s="18" t="s">
        <v>494</v>
      </c>
      <c r="E136" s="18" t="n">
        <v>0</v>
      </c>
      <c r="F136" s="18" t="n">
        <v>1</v>
      </c>
      <c r="G136" s="20" t="n">
        <v>0.0552</v>
      </c>
      <c r="H136" s="20" t="n">
        <v>0.0109</v>
      </c>
      <c r="I136" s="28" t="n">
        <v>214.2</v>
      </c>
      <c r="J136" s="28" t="n">
        <v>528.4</v>
      </c>
      <c r="K136" s="28" t="n">
        <v>168.2</v>
      </c>
      <c r="L136" s="29" t="n">
        <v>2.902</v>
      </c>
      <c r="M136" s="19" t="n">
        <v>0.834</v>
      </c>
      <c r="N136" s="28" t="n">
        <v>7.39</v>
      </c>
      <c r="O136" s="18" t="n">
        <v>37</v>
      </c>
      <c r="P136" s="18" t="n">
        <v>-1.25</v>
      </c>
      <c r="Q136" s="18" t="n">
        <v>-0.93</v>
      </c>
    </row>
    <row r="137" customFormat="false" ht="15" hidden="false" customHeight="false" outlineLevel="0" collapsed="false">
      <c r="A137" s="18" t="n">
        <v>34</v>
      </c>
      <c r="B137" s="18" t="s">
        <v>571</v>
      </c>
      <c r="C137" s="18" t="s">
        <v>522</v>
      </c>
      <c r="D137" s="18" t="s">
        <v>495</v>
      </c>
      <c r="E137" s="18" t="n">
        <v>1</v>
      </c>
      <c r="F137" s="18" t="n">
        <v>1</v>
      </c>
      <c r="G137" s="20" t="n">
        <v>0.0286</v>
      </c>
      <c r="H137" s="20" t="n">
        <v>0.0079</v>
      </c>
      <c r="I137" s="28" t="n">
        <v>198.5</v>
      </c>
      <c r="J137" s="28" t="n">
        <v>635.5</v>
      </c>
      <c r="K137" s="28" t="n">
        <v>167.1</v>
      </c>
      <c r="L137" s="29" t="n">
        <v>4.655</v>
      </c>
      <c r="M137" s="19" t="n">
        <v>1.385</v>
      </c>
      <c r="N137" s="28" t="n">
        <v>6.93</v>
      </c>
      <c r="O137" s="18" t="n">
        <v>37</v>
      </c>
      <c r="P137" s="18" t="n">
        <v>-1.25</v>
      </c>
      <c r="Q137" s="18" t="n">
        <v>-0.93</v>
      </c>
    </row>
    <row r="138" customFormat="false" ht="15" hidden="false" customHeight="false" outlineLevel="0" collapsed="false">
      <c r="A138" s="18" t="n">
        <v>35</v>
      </c>
      <c r="B138" s="18" t="s">
        <v>572</v>
      </c>
      <c r="C138" s="18" t="s">
        <v>522</v>
      </c>
      <c r="D138" s="18" t="s">
        <v>491</v>
      </c>
      <c r="E138" s="18" t="n">
        <v>0</v>
      </c>
      <c r="F138" s="18" t="n">
        <v>0</v>
      </c>
      <c r="G138" s="20" t="n">
        <v>-0.0532</v>
      </c>
      <c r="H138" s="20" t="n">
        <v>0.012</v>
      </c>
      <c r="I138" s="28" t="n">
        <v>190.6</v>
      </c>
      <c r="J138" s="28" t="n">
        <v>528.7</v>
      </c>
      <c r="K138" s="28" t="n">
        <v>162</v>
      </c>
      <c r="L138" s="18"/>
      <c r="M138" s="19" t="n">
        <v>0.634</v>
      </c>
      <c r="N138" s="28" t="n">
        <v>8.73</v>
      </c>
      <c r="O138" s="18" t="n">
        <v>37</v>
      </c>
      <c r="P138" s="18" t="n">
        <v>-1.25</v>
      </c>
      <c r="Q138" s="18" t="n">
        <v>-0.93</v>
      </c>
    </row>
    <row r="139" customFormat="false" ht="15" hidden="false" customHeight="false" outlineLevel="0" collapsed="false">
      <c r="A139" s="18" t="n">
        <v>35</v>
      </c>
      <c r="B139" s="18" t="s">
        <v>572</v>
      </c>
      <c r="C139" s="18" t="s">
        <v>522</v>
      </c>
      <c r="D139" s="18" t="s">
        <v>492</v>
      </c>
      <c r="E139" s="18" t="n">
        <v>1</v>
      </c>
      <c r="F139" s="18" t="n">
        <v>0</v>
      </c>
      <c r="G139" s="20" t="n">
        <v>-0.0407</v>
      </c>
      <c r="H139" s="20" t="n">
        <v>0.0054</v>
      </c>
      <c r="I139" s="28" t="n">
        <v>178.3</v>
      </c>
      <c r="J139" s="28" t="n">
        <v>633.3</v>
      </c>
      <c r="K139" s="28" t="n">
        <v>178.7</v>
      </c>
      <c r="L139" s="29" t="n">
        <v>3.73</v>
      </c>
      <c r="M139" s="19" t="n">
        <v>0.898</v>
      </c>
      <c r="N139" s="28" t="n">
        <v>8.61</v>
      </c>
      <c r="O139" s="18" t="n">
        <v>37</v>
      </c>
      <c r="P139" s="18" t="n">
        <v>-1.25</v>
      </c>
      <c r="Q139" s="18" t="n">
        <v>-0.93</v>
      </c>
    </row>
    <row r="140" customFormat="false" ht="15" hidden="false" customHeight="false" outlineLevel="0" collapsed="false">
      <c r="A140" s="18" t="n">
        <v>35</v>
      </c>
      <c r="B140" s="18" t="s">
        <v>573</v>
      </c>
      <c r="C140" s="18" t="s">
        <v>522</v>
      </c>
      <c r="D140" s="18" t="s">
        <v>494</v>
      </c>
      <c r="E140" s="18" t="n">
        <v>0</v>
      </c>
      <c r="F140" s="18" t="n">
        <v>1</v>
      </c>
      <c r="G140" s="20" t="n">
        <v>0.0539</v>
      </c>
      <c r="H140" s="20" t="n">
        <v>0.0125</v>
      </c>
      <c r="I140" s="28" t="n">
        <v>194.5</v>
      </c>
      <c r="J140" s="28" t="n">
        <v>527.1</v>
      </c>
      <c r="K140" s="28" t="n">
        <v>164.6</v>
      </c>
      <c r="L140" s="18"/>
      <c r="M140" s="19" t="n">
        <v>2.084</v>
      </c>
      <c r="N140" s="28" t="n">
        <v>7.63</v>
      </c>
      <c r="O140" s="18" t="n">
        <v>35</v>
      </c>
      <c r="P140" s="18" t="n">
        <v>-1.25</v>
      </c>
      <c r="Q140" s="18" t="n">
        <v>-0.93</v>
      </c>
    </row>
    <row r="141" customFormat="false" ht="15" hidden="false" customHeight="false" outlineLevel="0" collapsed="false">
      <c r="A141" s="18" t="n">
        <v>35</v>
      </c>
      <c r="B141" s="18" t="s">
        <v>573</v>
      </c>
      <c r="C141" s="18" t="s">
        <v>522</v>
      </c>
      <c r="D141" s="18" t="s">
        <v>495</v>
      </c>
      <c r="E141" s="18" t="n">
        <v>1</v>
      </c>
      <c r="F141" s="18" t="n">
        <v>1</v>
      </c>
      <c r="G141" s="20" t="n">
        <v>0.0389</v>
      </c>
      <c r="H141" s="20" t="n">
        <v>0.0092</v>
      </c>
      <c r="I141" s="28" t="n">
        <v>213.5</v>
      </c>
      <c r="J141" s="28" t="n">
        <v>632.4</v>
      </c>
      <c r="K141" s="28" t="n">
        <v>177.3</v>
      </c>
      <c r="L141" s="29" t="n">
        <v>1.876</v>
      </c>
      <c r="M141" s="19" t="n">
        <v>1.956</v>
      </c>
      <c r="N141" s="28" t="n">
        <v>8.31</v>
      </c>
      <c r="O141" s="18" t="n">
        <v>35</v>
      </c>
      <c r="P141" s="18" t="n">
        <v>-1.25</v>
      </c>
      <c r="Q141" s="18" t="n">
        <v>-0.93</v>
      </c>
    </row>
    <row r="142" customFormat="false" ht="15" hidden="false" customHeight="false" outlineLevel="0" collapsed="false">
      <c r="A142" s="18" t="n">
        <v>36</v>
      </c>
      <c r="B142" s="18" t="s">
        <v>574</v>
      </c>
      <c r="C142" s="18" t="s">
        <v>500</v>
      </c>
      <c r="D142" s="18" t="s">
        <v>491</v>
      </c>
      <c r="E142" s="18" t="n">
        <v>0</v>
      </c>
      <c r="F142" s="18" t="n">
        <v>0</v>
      </c>
      <c r="G142" s="20" t="n">
        <v>-0.0571</v>
      </c>
      <c r="H142" s="20" t="n">
        <v>0.0068</v>
      </c>
      <c r="I142" s="28" t="n">
        <v>178.1</v>
      </c>
      <c r="J142" s="28" t="n">
        <v>525.4</v>
      </c>
      <c r="K142" s="28" t="n">
        <v>128.6</v>
      </c>
      <c r="L142" s="29" t="n">
        <v>2.127</v>
      </c>
      <c r="M142" s="19" t="n">
        <v>1.141</v>
      </c>
      <c r="N142" s="28" t="n">
        <v>7.05</v>
      </c>
      <c r="O142" s="18" t="n">
        <v>34</v>
      </c>
      <c r="P142" s="18" t="n">
        <v>-1.25</v>
      </c>
      <c r="Q142" s="18" t="n">
        <v>-0.93</v>
      </c>
    </row>
    <row r="143" customFormat="false" ht="15" hidden="false" customHeight="false" outlineLevel="0" collapsed="false">
      <c r="A143" s="18" t="n">
        <v>36</v>
      </c>
      <c r="B143" s="18" t="s">
        <v>574</v>
      </c>
      <c r="C143" s="18" t="s">
        <v>500</v>
      </c>
      <c r="D143" s="18" t="s">
        <v>492</v>
      </c>
      <c r="E143" s="18" t="n">
        <v>1</v>
      </c>
      <c r="F143" s="18" t="n">
        <v>0</v>
      </c>
      <c r="G143" s="20" t="n">
        <v>-0.0392</v>
      </c>
      <c r="H143" s="20" t="n">
        <v>0.006</v>
      </c>
      <c r="I143" s="28" t="n">
        <v>197.4</v>
      </c>
      <c r="J143" s="28" t="n">
        <v>628.7</v>
      </c>
      <c r="K143" s="28" t="n">
        <v>132.6</v>
      </c>
      <c r="L143" s="29" t="n">
        <v>0.511</v>
      </c>
      <c r="M143" s="19" t="n">
        <v>1.246</v>
      </c>
      <c r="N143" s="28" t="n">
        <v>6.59</v>
      </c>
      <c r="O143" s="18" t="n">
        <v>34</v>
      </c>
      <c r="P143" s="18" t="n">
        <v>-1.25</v>
      </c>
      <c r="Q143" s="18" t="n">
        <v>-0.93</v>
      </c>
    </row>
    <row r="144" customFormat="false" ht="15" hidden="false" customHeight="false" outlineLevel="0" collapsed="false">
      <c r="A144" s="18" t="n">
        <v>36</v>
      </c>
      <c r="B144" s="18" t="s">
        <v>575</v>
      </c>
      <c r="C144" s="18" t="s">
        <v>500</v>
      </c>
      <c r="D144" s="18" t="s">
        <v>494</v>
      </c>
      <c r="E144" s="18" t="n">
        <v>0</v>
      </c>
      <c r="F144" s="18" t="n">
        <v>1</v>
      </c>
      <c r="G144" s="20" t="n">
        <v>0.0343</v>
      </c>
      <c r="H144" s="20" t="n">
        <v>0.007</v>
      </c>
      <c r="I144" s="28" t="n">
        <v>203.2</v>
      </c>
      <c r="J144" s="28" t="n">
        <v>523.5</v>
      </c>
      <c r="K144" s="28" t="n">
        <v>120.9</v>
      </c>
      <c r="L144" s="29" t="n">
        <v>3.17</v>
      </c>
      <c r="M144" s="19" t="n">
        <v>1.051</v>
      </c>
      <c r="N144" s="28" t="n">
        <v>6.91</v>
      </c>
      <c r="O144" s="18" t="n">
        <v>32</v>
      </c>
      <c r="P144" s="18" t="n">
        <v>-1.25</v>
      </c>
      <c r="Q144" s="18" t="n">
        <v>-0.93</v>
      </c>
    </row>
    <row r="145" customFormat="false" ht="15" hidden="false" customHeight="false" outlineLevel="0" collapsed="false">
      <c r="A145" s="18" t="n">
        <v>36</v>
      </c>
      <c r="B145" s="18" t="s">
        <v>575</v>
      </c>
      <c r="C145" s="18" t="s">
        <v>500</v>
      </c>
      <c r="D145" s="18" t="s">
        <v>495</v>
      </c>
      <c r="E145" s="18" t="n">
        <v>1</v>
      </c>
      <c r="F145" s="18" t="n">
        <v>1</v>
      </c>
      <c r="G145" s="20" t="n">
        <v>0.0427</v>
      </c>
      <c r="H145" s="20" t="n">
        <v>0.009</v>
      </c>
      <c r="I145" s="28" t="n">
        <v>190.7</v>
      </c>
      <c r="J145" s="28" t="n">
        <v>630.8</v>
      </c>
      <c r="K145" s="28" t="n">
        <v>118.8</v>
      </c>
      <c r="L145" s="29" t="n">
        <v>4.419</v>
      </c>
      <c r="M145" s="19" t="n">
        <v>0.99</v>
      </c>
      <c r="N145" s="28" t="n">
        <v>7.65</v>
      </c>
      <c r="O145" s="18" t="n">
        <v>32</v>
      </c>
      <c r="P145" s="18" t="n">
        <v>-1.25</v>
      </c>
      <c r="Q145" s="18" t="n">
        <v>-0.93</v>
      </c>
    </row>
    <row r="146" customFormat="false" ht="15" hidden="false" customHeight="false" outlineLevel="0" collapsed="false">
      <c r="A146" s="18" t="n">
        <v>37</v>
      </c>
      <c r="B146" s="18" t="s">
        <v>576</v>
      </c>
      <c r="C146" s="18" t="s">
        <v>577</v>
      </c>
      <c r="D146" s="18" t="s">
        <v>491</v>
      </c>
      <c r="E146" s="18" t="n">
        <v>0</v>
      </c>
      <c r="F146" s="18" t="n">
        <v>0</v>
      </c>
      <c r="G146" s="20" t="n">
        <v>-0.0548</v>
      </c>
      <c r="H146" s="20" t="n">
        <v>0.006</v>
      </c>
      <c r="I146" s="28" t="n">
        <v>212.6</v>
      </c>
      <c r="J146" s="28" t="n">
        <v>878.4</v>
      </c>
      <c r="K146" s="28" t="n">
        <v>121.9</v>
      </c>
      <c r="L146" s="18"/>
      <c r="M146" s="19" t="n">
        <v>1.044</v>
      </c>
      <c r="N146" s="28" t="n">
        <v>7.56</v>
      </c>
      <c r="O146" s="18" t="n">
        <v>30</v>
      </c>
      <c r="P146" s="18" t="n">
        <v>-1.5</v>
      </c>
      <c r="Q146" s="18" t="n">
        <v>-0.93</v>
      </c>
    </row>
    <row r="147" customFormat="false" ht="15" hidden="false" customHeight="false" outlineLevel="0" collapsed="false">
      <c r="A147" s="18" t="n">
        <v>37</v>
      </c>
      <c r="B147" s="18" t="s">
        <v>576</v>
      </c>
      <c r="C147" s="18" t="s">
        <v>577</v>
      </c>
      <c r="D147" s="18" t="s">
        <v>492</v>
      </c>
      <c r="E147" s="18" t="n">
        <v>1</v>
      </c>
      <c r="F147" s="18" t="n">
        <v>0</v>
      </c>
      <c r="G147" s="20" t="n">
        <v>-0.071</v>
      </c>
      <c r="H147" s="20" t="n">
        <v>0.0061</v>
      </c>
      <c r="I147" s="28" t="n">
        <v>198</v>
      </c>
      <c r="J147" s="28" t="n">
        <v>994.1</v>
      </c>
      <c r="K147" s="28" t="n">
        <v>108.6</v>
      </c>
      <c r="L147" s="18"/>
      <c r="M147" s="19" t="n">
        <v>0.819</v>
      </c>
      <c r="N147" s="28" t="n">
        <v>7.67</v>
      </c>
      <c r="O147" s="18" t="n">
        <v>30</v>
      </c>
      <c r="P147" s="18" t="n">
        <v>-1.5</v>
      </c>
      <c r="Q147" s="18" t="n">
        <v>-0.93</v>
      </c>
    </row>
    <row r="148" customFormat="false" ht="15" hidden="false" customHeight="false" outlineLevel="0" collapsed="false">
      <c r="A148" s="18" t="n">
        <v>37</v>
      </c>
      <c r="B148" s="18" t="s">
        <v>578</v>
      </c>
      <c r="C148" s="18" t="s">
        <v>577</v>
      </c>
      <c r="D148" s="18" t="s">
        <v>494</v>
      </c>
      <c r="E148" s="18" t="n">
        <v>0</v>
      </c>
      <c r="F148" s="18" t="n">
        <v>1</v>
      </c>
      <c r="G148" s="20" t="n">
        <v>0.0716</v>
      </c>
      <c r="H148" s="20" t="n">
        <v>0.0122</v>
      </c>
      <c r="I148" s="28" t="n">
        <v>201</v>
      </c>
      <c r="J148" s="28" t="n">
        <v>875.7</v>
      </c>
      <c r="K148" s="28" t="n">
        <v>131.3</v>
      </c>
      <c r="L148" s="18"/>
      <c r="M148" s="19" t="n">
        <v>0.516</v>
      </c>
      <c r="N148" s="28" t="n">
        <v>9.53</v>
      </c>
      <c r="O148" s="18" t="n">
        <v>31</v>
      </c>
      <c r="P148" s="18" t="n">
        <v>-1.5</v>
      </c>
      <c r="Q148" s="18" t="n">
        <v>-0.93</v>
      </c>
    </row>
    <row r="149" customFormat="false" ht="15" hidden="false" customHeight="false" outlineLevel="0" collapsed="false">
      <c r="A149" s="18" t="n">
        <v>37</v>
      </c>
      <c r="B149" s="18" t="s">
        <v>578</v>
      </c>
      <c r="C149" s="18" t="s">
        <v>577</v>
      </c>
      <c r="D149" s="18" t="s">
        <v>495</v>
      </c>
      <c r="E149" s="18" t="n">
        <v>1</v>
      </c>
      <c r="F149" s="18" t="n">
        <v>1</v>
      </c>
      <c r="G149" s="20" t="n">
        <v>0.0668</v>
      </c>
      <c r="H149" s="20" t="n">
        <v>0.006</v>
      </c>
      <c r="I149" s="28" t="n">
        <v>205.5</v>
      </c>
      <c r="J149" s="28" t="n">
        <v>989.2</v>
      </c>
      <c r="K149" s="28" t="n">
        <v>140.5</v>
      </c>
      <c r="L149" s="29" t="n">
        <v>0.46</v>
      </c>
      <c r="M149" s="19" t="n">
        <v>1.328</v>
      </c>
      <c r="N149" s="28" t="n">
        <v>7.86</v>
      </c>
      <c r="O149" s="18" t="n">
        <v>31</v>
      </c>
      <c r="P149" s="18" t="n">
        <v>-1.5</v>
      </c>
      <c r="Q149" s="18" t="n">
        <v>-0.93</v>
      </c>
    </row>
    <row r="150" customFormat="false" ht="15" hidden="false" customHeight="false" outlineLevel="0" collapsed="false">
      <c r="A150" s="18" t="n">
        <v>38</v>
      </c>
      <c r="B150" s="18" t="s">
        <v>579</v>
      </c>
      <c r="C150" s="18" t="s">
        <v>497</v>
      </c>
      <c r="D150" s="18" t="s">
        <v>491</v>
      </c>
      <c r="E150" s="18" t="n">
        <v>0</v>
      </c>
      <c r="F150" s="18" t="n">
        <v>0</v>
      </c>
      <c r="G150" s="20" t="n">
        <v>-0.0683</v>
      </c>
      <c r="H150" s="20" t="n">
        <v>0.0121</v>
      </c>
      <c r="I150" s="28" t="n">
        <v>175.5</v>
      </c>
      <c r="J150" s="28" t="n">
        <v>530.9</v>
      </c>
      <c r="K150" s="28" t="n">
        <v>99.1</v>
      </c>
      <c r="L150" s="29" t="n">
        <v>0.23</v>
      </c>
      <c r="M150" s="19" t="n">
        <v>1.146</v>
      </c>
      <c r="N150" s="28" t="n">
        <v>7.55</v>
      </c>
      <c r="O150" s="18" t="n">
        <v>29</v>
      </c>
      <c r="P150" s="18" t="n">
        <v>-1.25</v>
      </c>
      <c r="Q150" s="18" t="n">
        <v>-0.93</v>
      </c>
    </row>
    <row r="151" customFormat="false" ht="15" hidden="false" customHeight="false" outlineLevel="0" collapsed="false">
      <c r="A151" s="18" t="n">
        <v>38</v>
      </c>
      <c r="B151" s="18" t="s">
        <v>579</v>
      </c>
      <c r="C151" s="18" t="s">
        <v>497</v>
      </c>
      <c r="D151" s="18" t="s">
        <v>492</v>
      </c>
      <c r="E151" s="18" t="n">
        <v>1</v>
      </c>
      <c r="F151" s="18" t="n">
        <v>0</v>
      </c>
      <c r="G151" s="20" t="n">
        <v>-0.0609</v>
      </c>
      <c r="H151" s="20" t="n">
        <v>0.0107</v>
      </c>
      <c r="I151" s="28" t="n">
        <v>192.8</v>
      </c>
      <c r="J151" s="28" t="n">
        <v>634.6</v>
      </c>
      <c r="K151" s="28" t="n">
        <v>107.4</v>
      </c>
      <c r="L151" s="29" t="n">
        <v>0.207</v>
      </c>
      <c r="M151" s="19" t="n">
        <v>1.709</v>
      </c>
      <c r="N151" s="28" t="n">
        <v>7.9</v>
      </c>
      <c r="O151" s="18" t="n">
        <v>29</v>
      </c>
      <c r="P151" s="18" t="n">
        <v>-1.25</v>
      </c>
      <c r="Q151" s="18" t="n">
        <v>-0.93</v>
      </c>
    </row>
    <row r="152" customFormat="false" ht="15" hidden="false" customHeight="false" outlineLevel="0" collapsed="false">
      <c r="A152" s="18" t="n">
        <v>38</v>
      </c>
      <c r="B152" s="18" t="s">
        <v>580</v>
      </c>
      <c r="C152" s="18" t="s">
        <v>497</v>
      </c>
      <c r="D152" s="18" t="s">
        <v>494</v>
      </c>
      <c r="E152" s="18" t="n">
        <v>0</v>
      </c>
      <c r="F152" s="18" t="n">
        <v>1</v>
      </c>
      <c r="G152" s="20" t="n">
        <v>0.0452</v>
      </c>
      <c r="H152" s="20" t="n">
        <v>0.011</v>
      </c>
      <c r="I152" s="28" t="n">
        <v>205.3</v>
      </c>
      <c r="J152" s="28" t="n">
        <v>526.5</v>
      </c>
      <c r="K152" s="28" t="n">
        <v>85.8</v>
      </c>
      <c r="L152" s="18"/>
      <c r="M152" s="19" t="n">
        <v>0.855</v>
      </c>
      <c r="N152" s="28" t="n">
        <v>8.88</v>
      </c>
      <c r="O152" s="18" t="n">
        <v>28</v>
      </c>
      <c r="P152" s="18" t="n">
        <v>-1.25</v>
      </c>
      <c r="Q152" s="18" t="n">
        <v>-0.93</v>
      </c>
    </row>
    <row r="153" customFormat="false" ht="15" hidden="false" customHeight="false" outlineLevel="0" collapsed="false">
      <c r="A153" s="18" t="n">
        <v>38</v>
      </c>
      <c r="B153" s="18" t="s">
        <v>580</v>
      </c>
      <c r="C153" s="18" t="s">
        <v>497</v>
      </c>
      <c r="D153" s="18" t="s">
        <v>495</v>
      </c>
      <c r="E153" s="18" t="n">
        <v>1</v>
      </c>
      <c r="F153" s="18" t="n">
        <v>1</v>
      </c>
      <c r="G153" s="20" t="n">
        <v>0.0432</v>
      </c>
      <c r="H153" s="20" t="n">
        <v>0.0096</v>
      </c>
      <c r="I153" s="28" t="n">
        <v>189.4</v>
      </c>
      <c r="J153" s="28" t="n">
        <v>633.5</v>
      </c>
      <c r="K153" s="28" t="n">
        <v>84.9</v>
      </c>
      <c r="L153" s="29" t="n">
        <v>3.135</v>
      </c>
      <c r="M153" s="19" t="n">
        <v>0.64</v>
      </c>
      <c r="N153" s="28" t="n">
        <v>6.67</v>
      </c>
      <c r="O153" s="18" t="n">
        <v>28</v>
      </c>
      <c r="P153" s="18" t="n">
        <v>-1.25</v>
      </c>
      <c r="Q153" s="18" t="n">
        <v>-0.93</v>
      </c>
    </row>
    <row r="154" customFormat="false" ht="15" hidden="false" customHeight="false" outlineLevel="0" collapsed="false">
      <c r="A154" s="18" t="n">
        <v>39</v>
      </c>
      <c r="B154" s="18" t="s">
        <v>581</v>
      </c>
      <c r="C154" s="18" t="s">
        <v>500</v>
      </c>
      <c r="D154" s="18" t="s">
        <v>491</v>
      </c>
      <c r="E154" s="18" t="n">
        <v>0</v>
      </c>
      <c r="F154" s="18" t="n">
        <v>0</v>
      </c>
      <c r="G154" s="20" t="n">
        <v>-0.0412</v>
      </c>
      <c r="H154" s="20" t="n">
        <v>0.0083</v>
      </c>
      <c r="I154" s="28" t="n">
        <v>196.6</v>
      </c>
      <c r="J154" s="28" t="n">
        <v>524.8</v>
      </c>
      <c r="K154" s="28" t="n">
        <v>145.5</v>
      </c>
      <c r="L154" s="29" t="n">
        <v>1.886</v>
      </c>
      <c r="M154" s="19" t="n">
        <v>0.726</v>
      </c>
      <c r="N154" s="28" t="n">
        <v>7.23</v>
      </c>
      <c r="O154" s="18" t="n">
        <v>36</v>
      </c>
      <c r="P154" s="18" t="n">
        <v>-1.25</v>
      </c>
      <c r="Q154" s="18" t="n">
        <v>-0.93</v>
      </c>
    </row>
    <row r="155" customFormat="false" ht="15" hidden="false" customHeight="false" outlineLevel="0" collapsed="false">
      <c r="A155" s="18" t="n">
        <v>39</v>
      </c>
      <c r="B155" s="18" t="s">
        <v>581</v>
      </c>
      <c r="C155" s="18" t="s">
        <v>500</v>
      </c>
      <c r="D155" s="18" t="s">
        <v>492</v>
      </c>
      <c r="E155" s="18" t="n">
        <v>1</v>
      </c>
      <c r="F155" s="18" t="n">
        <v>0</v>
      </c>
      <c r="G155" s="20" t="n">
        <v>-0.0506</v>
      </c>
      <c r="H155" s="20" t="n">
        <v>0.0069</v>
      </c>
      <c r="I155" s="28" t="n">
        <v>187.2</v>
      </c>
      <c r="J155" s="28" t="n">
        <v>633.4</v>
      </c>
      <c r="K155" s="28" t="n">
        <v>148.6</v>
      </c>
      <c r="L155" s="18"/>
      <c r="M155" s="19" t="n">
        <v>0.381</v>
      </c>
      <c r="N155" s="28" t="n">
        <v>8.01</v>
      </c>
      <c r="O155" s="18" t="n">
        <v>36</v>
      </c>
      <c r="P155" s="18" t="n">
        <v>-1.25</v>
      </c>
      <c r="Q155" s="18" t="n">
        <v>-0.93</v>
      </c>
    </row>
    <row r="156" customFormat="false" ht="15" hidden="false" customHeight="false" outlineLevel="0" collapsed="false">
      <c r="A156" s="18" t="n">
        <v>39</v>
      </c>
      <c r="B156" s="18" t="s">
        <v>582</v>
      </c>
      <c r="C156" s="18" t="s">
        <v>500</v>
      </c>
      <c r="D156" s="18" t="s">
        <v>494</v>
      </c>
      <c r="E156" s="18" t="n">
        <v>0</v>
      </c>
      <c r="F156" s="18" t="n">
        <v>1</v>
      </c>
      <c r="G156" s="20" t="n">
        <v>0.0353</v>
      </c>
      <c r="H156" s="20" t="n">
        <v>0.0105</v>
      </c>
      <c r="I156" s="28" t="n">
        <v>169.6</v>
      </c>
      <c r="J156" s="28" t="n">
        <v>527</v>
      </c>
      <c r="K156" s="28" t="n">
        <v>154.3</v>
      </c>
      <c r="L156" s="18"/>
      <c r="M156" s="19" t="n">
        <v>0.605</v>
      </c>
      <c r="N156" s="28" t="n">
        <v>8.8</v>
      </c>
      <c r="O156" s="18" t="n">
        <v>37</v>
      </c>
      <c r="P156" s="18" t="n">
        <v>-1.25</v>
      </c>
      <c r="Q156" s="18" t="n">
        <v>-0.93</v>
      </c>
    </row>
    <row r="157" customFormat="false" ht="15" hidden="false" customHeight="false" outlineLevel="0" collapsed="false">
      <c r="A157" s="18" t="n">
        <v>39</v>
      </c>
      <c r="B157" s="18" t="s">
        <v>582</v>
      </c>
      <c r="C157" s="18" t="s">
        <v>500</v>
      </c>
      <c r="D157" s="18" t="s">
        <v>495</v>
      </c>
      <c r="E157" s="18" t="n">
        <v>1</v>
      </c>
      <c r="F157" s="18" t="n">
        <v>1</v>
      </c>
      <c r="G157" s="20" t="n">
        <v>0.055</v>
      </c>
      <c r="H157" s="20" t="n">
        <v>0.0089</v>
      </c>
      <c r="I157" s="28" t="n">
        <v>193</v>
      </c>
      <c r="J157" s="28" t="n">
        <v>631.8</v>
      </c>
      <c r="K157" s="28" t="n">
        <v>181.6</v>
      </c>
      <c r="L157" s="18"/>
      <c r="M157" s="19" t="n">
        <v>0.83</v>
      </c>
      <c r="N157" s="28" t="n">
        <v>9.98</v>
      </c>
      <c r="O157" s="18" t="n">
        <v>37</v>
      </c>
      <c r="P157" s="18" t="n">
        <v>-1.25</v>
      </c>
      <c r="Q157" s="18" t="n">
        <v>-0.93</v>
      </c>
    </row>
    <row r="158" customFormat="false" ht="15" hidden="false" customHeight="false" outlineLevel="0" collapsed="false">
      <c r="A158" s="18" t="n">
        <v>40</v>
      </c>
      <c r="B158" s="18" t="s">
        <v>583</v>
      </c>
      <c r="C158" s="18" t="s">
        <v>500</v>
      </c>
      <c r="D158" s="18" t="s">
        <v>491</v>
      </c>
      <c r="E158" s="18" t="n">
        <v>0</v>
      </c>
      <c r="F158" s="18" t="n">
        <v>0</v>
      </c>
      <c r="G158" s="20" t="n">
        <v>-0.0424</v>
      </c>
      <c r="H158" s="20" t="n">
        <v>0.0071</v>
      </c>
      <c r="I158" s="28" t="n">
        <v>192.6</v>
      </c>
      <c r="J158" s="28" t="n">
        <v>526.4</v>
      </c>
      <c r="K158" s="28" t="n">
        <v>153.9</v>
      </c>
      <c r="L158" s="29" t="n">
        <v>3.683</v>
      </c>
      <c r="M158" s="19" t="n">
        <v>0.979</v>
      </c>
      <c r="N158" s="28" t="n">
        <v>6.91</v>
      </c>
      <c r="O158" s="18" t="n">
        <v>30</v>
      </c>
      <c r="P158" s="18" t="n">
        <v>-1.25</v>
      </c>
      <c r="Q158" s="18" t="n">
        <v>-0.93</v>
      </c>
    </row>
    <row r="159" customFormat="false" ht="15" hidden="false" customHeight="false" outlineLevel="0" collapsed="false">
      <c r="A159" s="18" t="n">
        <v>40</v>
      </c>
      <c r="B159" s="18" t="s">
        <v>583</v>
      </c>
      <c r="C159" s="18" t="s">
        <v>500</v>
      </c>
      <c r="D159" s="18" t="s">
        <v>492</v>
      </c>
      <c r="E159" s="18" t="n">
        <v>1</v>
      </c>
      <c r="F159" s="18" t="n">
        <v>0</v>
      </c>
      <c r="G159" s="20" t="n">
        <v>-0.0359</v>
      </c>
      <c r="H159" s="20" t="n">
        <v>0.0147</v>
      </c>
      <c r="I159" s="28" t="n">
        <v>169.2</v>
      </c>
      <c r="J159" s="28" t="n">
        <v>636.6</v>
      </c>
      <c r="K159" s="28" t="n">
        <v>137.7</v>
      </c>
      <c r="L159" s="29" t="n">
        <v>2.641</v>
      </c>
      <c r="M159" s="19" t="n">
        <v>0.605</v>
      </c>
      <c r="N159" s="28" t="n">
        <v>7.76</v>
      </c>
      <c r="O159" s="18" t="n">
        <v>30</v>
      </c>
      <c r="P159" s="18" t="n">
        <v>-1.25</v>
      </c>
      <c r="Q159" s="18" t="n">
        <v>-0.93</v>
      </c>
    </row>
    <row r="160" customFormat="false" ht="15" hidden="false" customHeight="false" outlineLevel="0" collapsed="false">
      <c r="A160" s="18" t="n">
        <v>40</v>
      </c>
      <c r="B160" s="18" t="s">
        <v>584</v>
      </c>
      <c r="C160" s="18" t="s">
        <v>500</v>
      </c>
      <c r="D160" s="18" t="s">
        <v>494</v>
      </c>
      <c r="E160" s="18" t="n">
        <v>0</v>
      </c>
      <c r="F160" s="18" t="n">
        <v>1</v>
      </c>
      <c r="G160" s="20" t="n">
        <v>0.0553</v>
      </c>
      <c r="H160" s="20" t="n">
        <v>0.0058</v>
      </c>
      <c r="I160" s="28" t="n">
        <v>182.7</v>
      </c>
      <c r="J160" s="28" t="n">
        <v>527.8</v>
      </c>
      <c r="K160" s="28" t="n">
        <v>119.2</v>
      </c>
      <c r="L160" s="29" t="n">
        <v>0.981</v>
      </c>
      <c r="M160" s="19" t="n">
        <v>2.275</v>
      </c>
      <c r="N160" s="28" t="n">
        <v>6.78</v>
      </c>
      <c r="O160" s="18" t="n">
        <v>32</v>
      </c>
      <c r="P160" s="18" t="n">
        <v>-1.25</v>
      </c>
      <c r="Q160" s="18" t="n">
        <v>-0.93</v>
      </c>
    </row>
    <row r="161" customFormat="false" ht="15" hidden="false" customHeight="false" outlineLevel="0" collapsed="false">
      <c r="A161" s="18" t="n">
        <v>40</v>
      </c>
      <c r="B161" s="18" t="s">
        <v>584</v>
      </c>
      <c r="C161" s="18" t="s">
        <v>500</v>
      </c>
      <c r="D161" s="18" t="s">
        <v>495</v>
      </c>
      <c r="E161" s="18" t="n">
        <v>1</v>
      </c>
      <c r="F161" s="18" t="n">
        <v>1</v>
      </c>
      <c r="G161" s="20" t="n">
        <v>0.0458</v>
      </c>
      <c r="H161" s="20" t="n">
        <v>0.01</v>
      </c>
      <c r="I161" s="28" t="n">
        <v>174.7</v>
      </c>
      <c r="J161" s="28" t="n">
        <v>637.8</v>
      </c>
      <c r="K161" s="28" t="n">
        <v>115.2</v>
      </c>
      <c r="L161" s="29" t="n">
        <v>0.683</v>
      </c>
      <c r="M161" s="19" t="n">
        <v>1.235</v>
      </c>
      <c r="N161" s="28" t="n">
        <v>8.23</v>
      </c>
      <c r="O161" s="18" t="n">
        <v>32</v>
      </c>
      <c r="P161" s="18" t="n">
        <v>-1.25</v>
      </c>
      <c r="Q161" s="18" t="n">
        <v>-0.93</v>
      </c>
    </row>
    <row r="162" customFormat="false" ht="15" hidden="false" customHeight="false" outlineLevel="0" collapsed="false">
      <c r="A162" s="18" t="n">
        <v>41</v>
      </c>
      <c r="B162" s="18" t="s">
        <v>585</v>
      </c>
      <c r="C162" s="18" t="s">
        <v>497</v>
      </c>
      <c r="D162" s="18" t="s">
        <v>491</v>
      </c>
      <c r="E162" s="18" t="n">
        <v>0</v>
      </c>
      <c r="F162" s="18" t="n">
        <v>0</v>
      </c>
      <c r="G162" s="20" t="n">
        <v>-0.0431</v>
      </c>
      <c r="H162" s="20" t="n">
        <v>0.0098</v>
      </c>
      <c r="I162" s="28" t="n">
        <v>190.9</v>
      </c>
      <c r="J162" s="28" t="n">
        <v>526.7</v>
      </c>
      <c r="K162" s="28" t="n">
        <v>125.7</v>
      </c>
      <c r="L162" s="29" t="n">
        <v>2.602</v>
      </c>
      <c r="M162" s="19" t="n">
        <v>1.427</v>
      </c>
      <c r="N162" s="28" t="n">
        <v>9.05</v>
      </c>
      <c r="O162" s="18" t="n">
        <v>30</v>
      </c>
      <c r="P162" s="18" t="n">
        <v>-1.25</v>
      </c>
      <c r="Q162" s="18" t="n">
        <v>-0.93</v>
      </c>
    </row>
    <row r="163" customFormat="false" ht="15" hidden="false" customHeight="false" outlineLevel="0" collapsed="false">
      <c r="A163" s="18" t="n">
        <v>41</v>
      </c>
      <c r="B163" s="18" t="s">
        <v>585</v>
      </c>
      <c r="C163" s="18" t="s">
        <v>497</v>
      </c>
      <c r="D163" s="18" t="s">
        <v>492</v>
      </c>
      <c r="E163" s="18" t="n">
        <v>1</v>
      </c>
      <c r="F163" s="18" t="n">
        <v>0</v>
      </c>
      <c r="G163" s="20" t="n">
        <v>-0.0536</v>
      </c>
      <c r="H163" s="20" t="n">
        <v>0.0047</v>
      </c>
      <c r="I163" s="28" t="n">
        <v>174.4</v>
      </c>
      <c r="J163" s="28" t="n">
        <v>631.6</v>
      </c>
      <c r="K163" s="28" t="n">
        <v>104.1</v>
      </c>
      <c r="L163" s="29" t="n">
        <v>2.132</v>
      </c>
      <c r="M163" s="19" t="n">
        <v>0.853</v>
      </c>
      <c r="N163" s="28" t="n">
        <v>6.59</v>
      </c>
      <c r="O163" s="18" t="n">
        <v>30</v>
      </c>
      <c r="P163" s="18" t="n">
        <v>-1.25</v>
      </c>
      <c r="Q163" s="18" t="n">
        <v>-0.93</v>
      </c>
    </row>
    <row r="164" customFormat="false" ht="15" hidden="false" customHeight="false" outlineLevel="0" collapsed="false">
      <c r="A164" s="18" t="n">
        <v>41</v>
      </c>
      <c r="B164" s="18" t="s">
        <v>586</v>
      </c>
      <c r="C164" s="18" t="s">
        <v>497</v>
      </c>
      <c r="D164" s="18" t="s">
        <v>494</v>
      </c>
      <c r="E164" s="18" t="n">
        <v>0</v>
      </c>
      <c r="F164" s="18" t="n">
        <v>1</v>
      </c>
      <c r="G164" s="20" t="n">
        <v>0.0415</v>
      </c>
      <c r="H164" s="20" t="n">
        <v>0.011</v>
      </c>
      <c r="I164" s="28" t="n">
        <v>191.9</v>
      </c>
      <c r="J164" s="28" t="n">
        <v>524.3</v>
      </c>
      <c r="K164" s="28" t="n">
        <v>112.7</v>
      </c>
      <c r="L164" s="18"/>
      <c r="M164" s="19" t="n">
        <v>1.177</v>
      </c>
      <c r="N164" s="28" t="n">
        <v>7.45</v>
      </c>
      <c r="O164" s="18" t="n">
        <v>30</v>
      </c>
      <c r="P164" s="18" t="n">
        <v>-1.25</v>
      </c>
      <c r="Q164" s="18" t="n">
        <v>-0.93</v>
      </c>
    </row>
    <row r="165" customFormat="false" ht="15" hidden="false" customHeight="false" outlineLevel="0" collapsed="false">
      <c r="A165" s="18" t="n">
        <v>41</v>
      </c>
      <c r="B165" s="18" t="s">
        <v>586</v>
      </c>
      <c r="C165" s="18" t="s">
        <v>497</v>
      </c>
      <c r="D165" s="18" t="s">
        <v>495</v>
      </c>
      <c r="E165" s="18" t="n">
        <v>1</v>
      </c>
      <c r="F165" s="18" t="n">
        <v>1</v>
      </c>
      <c r="G165" s="20" t="n">
        <v>0.0494</v>
      </c>
      <c r="H165" s="20" t="n">
        <v>0.0149</v>
      </c>
      <c r="I165" s="28" t="n">
        <v>168.3</v>
      </c>
      <c r="J165" s="28" t="n">
        <v>637.9</v>
      </c>
      <c r="K165" s="28" t="n">
        <v>95.4</v>
      </c>
      <c r="L165" s="18"/>
      <c r="M165" s="19" t="n">
        <v>1.462</v>
      </c>
      <c r="N165" s="28" t="n">
        <v>9.93</v>
      </c>
      <c r="O165" s="18" t="n">
        <v>30</v>
      </c>
      <c r="P165" s="18" t="n">
        <v>-1.25</v>
      </c>
      <c r="Q165" s="18" t="n">
        <v>-0.93</v>
      </c>
    </row>
    <row r="166" customFormat="false" ht="15" hidden="false" customHeight="false" outlineLevel="0" collapsed="false">
      <c r="A166" s="18" t="n">
        <v>42</v>
      </c>
      <c r="B166" s="18" t="s">
        <v>587</v>
      </c>
      <c r="C166" s="18" t="s">
        <v>588</v>
      </c>
      <c r="D166" s="18" t="s">
        <v>491</v>
      </c>
      <c r="E166" s="18" t="n">
        <v>0</v>
      </c>
      <c r="F166" s="18" t="n">
        <v>0</v>
      </c>
      <c r="G166" s="20" t="n">
        <v>-0.0374</v>
      </c>
      <c r="H166" s="20" t="n">
        <v>0.0077</v>
      </c>
      <c r="I166" s="28" t="n">
        <v>177.2</v>
      </c>
      <c r="J166" s="28" t="n">
        <v>451.8</v>
      </c>
      <c r="K166" s="28" t="n">
        <v>112.2</v>
      </c>
      <c r="L166" s="29" t="n">
        <v>1.441</v>
      </c>
      <c r="M166" s="19" t="n">
        <v>1.014</v>
      </c>
      <c r="N166" s="28" t="n">
        <v>6.19</v>
      </c>
      <c r="O166" s="18" t="n">
        <v>31</v>
      </c>
      <c r="P166" s="18" t="n">
        <v>-1.25</v>
      </c>
      <c r="Q166" s="18" t="n">
        <v>-1.03</v>
      </c>
    </row>
    <row r="167" customFormat="false" ht="15" hidden="false" customHeight="false" outlineLevel="0" collapsed="false">
      <c r="A167" s="18" t="n">
        <v>42</v>
      </c>
      <c r="B167" s="18" t="s">
        <v>587</v>
      </c>
      <c r="C167" s="18" t="s">
        <v>588</v>
      </c>
      <c r="D167" s="18" t="s">
        <v>492</v>
      </c>
      <c r="E167" s="18" t="n">
        <v>1</v>
      </c>
      <c r="F167" s="18" t="n">
        <v>0</v>
      </c>
      <c r="G167" s="20" t="n">
        <v>-0.0319</v>
      </c>
      <c r="H167" s="20" t="n">
        <v>0.0091</v>
      </c>
      <c r="I167" s="28" t="n">
        <v>182.5</v>
      </c>
      <c r="J167" s="28" t="n">
        <v>556.7</v>
      </c>
      <c r="K167" s="28" t="n">
        <v>117.3</v>
      </c>
      <c r="L167" s="29" t="n">
        <v>4.983</v>
      </c>
      <c r="M167" s="19" t="n">
        <v>1.324</v>
      </c>
      <c r="N167" s="28" t="n">
        <v>6.69</v>
      </c>
      <c r="O167" s="18" t="n">
        <v>31</v>
      </c>
      <c r="P167" s="18" t="n">
        <v>-1.25</v>
      </c>
      <c r="Q167" s="18" t="n">
        <v>-1.03</v>
      </c>
    </row>
    <row r="168" customFormat="false" ht="15" hidden="false" customHeight="false" outlineLevel="0" collapsed="false">
      <c r="A168" s="18" t="n">
        <v>42</v>
      </c>
      <c r="B168" s="18" t="s">
        <v>589</v>
      </c>
      <c r="C168" s="18" t="s">
        <v>588</v>
      </c>
      <c r="D168" s="18" t="s">
        <v>494</v>
      </c>
      <c r="E168" s="18" t="n">
        <v>0</v>
      </c>
      <c r="F168" s="18" t="n">
        <v>1</v>
      </c>
      <c r="G168" s="20" t="n">
        <v>0.0443</v>
      </c>
      <c r="H168" s="20" t="n">
        <v>0.0105</v>
      </c>
      <c r="I168" s="28" t="n">
        <v>178.2</v>
      </c>
      <c r="J168" s="28" t="n">
        <v>451.8</v>
      </c>
      <c r="K168" s="28" t="n">
        <v>111.6</v>
      </c>
      <c r="L168" s="18"/>
      <c r="M168" s="19" t="n">
        <v>2.743</v>
      </c>
      <c r="N168" s="28" t="n">
        <v>7.25</v>
      </c>
      <c r="O168" s="18" t="n">
        <v>33</v>
      </c>
      <c r="P168" s="18" t="n">
        <v>-1.25</v>
      </c>
      <c r="Q168" s="18" t="n">
        <v>-1.03</v>
      </c>
    </row>
    <row r="169" customFormat="false" ht="15" hidden="false" customHeight="false" outlineLevel="0" collapsed="false">
      <c r="A169" s="18" t="n">
        <v>42</v>
      </c>
      <c r="B169" s="18" t="s">
        <v>589</v>
      </c>
      <c r="C169" s="18" t="s">
        <v>588</v>
      </c>
      <c r="D169" s="18" t="s">
        <v>495</v>
      </c>
      <c r="E169" s="18" t="n">
        <v>1</v>
      </c>
      <c r="F169" s="18" t="n">
        <v>1</v>
      </c>
      <c r="G169" s="20" t="n">
        <v>0.023</v>
      </c>
      <c r="H169" s="20" t="n">
        <v>0.0073</v>
      </c>
      <c r="I169" s="28" t="n">
        <v>191.7</v>
      </c>
      <c r="J169" s="28" t="n">
        <v>553.2</v>
      </c>
      <c r="K169" s="28" t="n">
        <v>127.4</v>
      </c>
      <c r="L169" s="29" t="n">
        <v>3.406</v>
      </c>
      <c r="M169" s="19" t="n">
        <v>1.079</v>
      </c>
      <c r="N169" s="28" t="n">
        <v>8.27</v>
      </c>
      <c r="O169" s="18" t="n">
        <v>33</v>
      </c>
      <c r="P169" s="18" t="n">
        <v>-1.25</v>
      </c>
      <c r="Q169" s="18" t="n">
        <v>-1.03</v>
      </c>
    </row>
    <row r="170" customFormat="false" ht="15" hidden="false" customHeight="false" outlineLevel="0" collapsed="false">
      <c r="A170" s="18" t="n">
        <v>43</v>
      </c>
      <c r="B170" s="18" t="s">
        <v>590</v>
      </c>
      <c r="C170" s="18" t="s">
        <v>500</v>
      </c>
      <c r="D170" s="18" t="s">
        <v>491</v>
      </c>
      <c r="E170" s="18" t="n">
        <v>0</v>
      </c>
      <c r="F170" s="18" t="n">
        <v>0</v>
      </c>
      <c r="G170" s="20" t="n">
        <v>-0.055</v>
      </c>
      <c r="H170" s="20" t="n">
        <v>0.0111</v>
      </c>
      <c r="I170" s="28" t="n">
        <v>181.3</v>
      </c>
      <c r="J170" s="28" t="n">
        <v>526.9</v>
      </c>
      <c r="K170" s="28" t="n">
        <v>107.5</v>
      </c>
      <c r="L170" s="18"/>
      <c r="M170" s="19" t="n">
        <v>1.264</v>
      </c>
      <c r="N170" s="28" t="n">
        <v>7.69</v>
      </c>
      <c r="O170" s="18" t="n">
        <v>29</v>
      </c>
      <c r="P170" s="18" t="n">
        <v>-1.25</v>
      </c>
      <c r="Q170" s="18" t="n">
        <v>-0.93</v>
      </c>
    </row>
    <row r="171" customFormat="false" ht="15" hidden="false" customHeight="false" outlineLevel="0" collapsed="false">
      <c r="A171" s="18" t="n">
        <v>43</v>
      </c>
      <c r="B171" s="18" t="s">
        <v>590</v>
      </c>
      <c r="C171" s="18" t="s">
        <v>500</v>
      </c>
      <c r="D171" s="18" t="s">
        <v>492</v>
      </c>
      <c r="E171" s="18" t="n">
        <v>1</v>
      </c>
      <c r="F171" s="18" t="n">
        <v>0</v>
      </c>
      <c r="G171" s="20" t="n">
        <v>-0.0389</v>
      </c>
      <c r="H171" s="20" t="n">
        <v>0.007</v>
      </c>
      <c r="I171" s="28" t="n">
        <v>190.2</v>
      </c>
      <c r="J171" s="28" t="n">
        <v>628.1</v>
      </c>
      <c r="K171" s="28" t="n">
        <v>102.9</v>
      </c>
      <c r="L171" s="29" t="n">
        <v>4.498</v>
      </c>
      <c r="M171" s="19" t="n">
        <v>1.412</v>
      </c>
      <c r="N171" s="28" t="n">
        <v>6.66</v>
      </c>
      <c r="O171" s="18" t="n">
        <v>29</v>
      </c>
      <c r="P171" s="18" t="n">
        <v>-1.25</v>
      </c>
      <c r="Q171" s="18" t="n">
        <v>-0.93</v>
      </c>
    </row>
    <row r="172" customFormat="false" ht="15" hidden="false" customHeight="false" outlineLevel="0" collapsed="false">
      <c r="A172" s="18" t="n">
        <v>43</v>
      </c>
      <c r="B172" s="18" t="s">
        <v>591</v>
      </c>
      <c r="C172" s="18" t="s">
        <v>500</v>
      </c>
      <c r="D172" s="18" t="s">
        <v>494</v>
      </c>
      <c r="E172" s="18" t="n">
        <v>0</v>
      </c>
      <c r="F172" s="18" t="n">
        <v>1</v>
      </c>
      <c r="G172" s="20" t="n">
        <v>0.0367</v>
      </c>
      <c r="H172" s="20" t="n">
        <v>0.0089</v>
      </c>
      <c r="I172" s="28" t="n">
        <v>181.9</v>
      </c>
      <c r="J172" s="28" t="n">
        <v>531.5</v>
      </c>
      <c r="K172" s="28" t="n">
        <v>86.5</v>
      </c>
      <c r="L172" s="29" t="n">
        <v>1.28</v>
      </c>
      <c r="M172" s="19" t="n">
        <v>1.517</v>
      </c>
      <c r="N172" s="28" t="n">
        <v>8.86</v>
      </c>
      <c r="O172" s="18" t="n">
        <v>27</v>
      </c>
      <c r="P172" s="18" t="n">
        <v>-1.25</v>
      </c>
      <c r="Q172" s="18" t="n">
        <v>-0.93</v>
      </c>
    </row>
    <row r="173" customFormat="false" ht="15" hidden="false" customHeight="false" outlineLevel="0" collapsed="false">
      <c r="A173" s="18" t="n">
        <v>43</v>
      </c>
      <c r="B173" s="18" t="s">
        <v>591</v>
      </c>
      <c r="C173" s="18" t="s">
        <v>500</v>
      </c>
      <c r="D173" s="18" t="s">
        <v>495</v>
      </c>
      <c r="E173" s="18" t="n">
        <v>1</v>
      </c>
      <c r="F173" s="18" t="n">
        <v>1</v>
      </c>
      <c r="G173" s="20" t="n">
        <v>0.0227</v>
      </c>
      <c r="H173" s="20" t="n">
        <v>0.007</v>
      </c>
      <c r="I173" s="28" t="n">
        <v>188.2</v>
      </c>
      <c r="J173" s="28" t="n">
        <v>636.3</v>
      </c>
      <c r="K173" s="28" t="n">
        <v>83.1</v>
      </c>
      <c r="L173" s="29" t="n">
        <v>0.356</v>
      </c>
      <c r="M173" s="19" t="n">
        <v>1.22</v>
      </c>
      <c r="N173" s="28" t="n">
        <v>7.62</v>
      </c>
      <c r="O173" s="18" t="n">
        <v>27</v>
      </c>
      <c r="P173" s="18" t="n">
        <v>-1.25</v>
      </c>
      <c r="Q173" s="18" t="n">
        <v>-0.93</v>
      </c>
    </row>
    <row r="174" customFormat="false" ht="15" hidden="false" customHeight="false" outlineLevel="0" collapsed="false">
      <c r="A174" s="18" t="n">
        <v>44</v>
      </c>
      <c r="B174" s="18" t="s">
        <v>592</v>
      </c>
      <c r="C174" s="18" t="s">
        <v>500</v>
      </c>
      <c r="D174" s="18" t="s">
        <v>491</v>
      </c>
      <c r="E174" s="18" t="n">
        <v>0</v>
      </c>
      <c r="F174" s="18" t="n">
        <v>0</v>
      </c>
      <c r="G174" s="20" t="n">
        <v>-0.0385</v>
      </c>
      <c r="H174" s="20" t="n">
        <v>0.0157</v>
      </c>
      <c r="I174" s="28" t="n">
        <v>182.4</v>
      </c>
      <c r="J174" s="28" t="n">
        <v>529.5</v>
      </c>
      <c r="K174" s="28" t="n">
        <v>130.9</v>
      </c>
      <c r="L174" s="18"/>
      <c r="M174" s="19" t="n">
        <v>1.857</v>
      </c>
      <c r="N174" s="28" t="n">
        <v>12.08</v>
      </c>
      <c r="O174" s="18" t="n">
        <v>32</v>
      </c>
      <c r="P174" s="18" t="n">
        <v>-1.25</v>
      </c>
      <c r="Q174" s="18" t="n">
        <v>-0.93</v>
      </c>
    </row>
    <row r="175" customFormat="false" ht="15" hidden="false" customHeight="false" outlineLevel="0" collapsed="false">
      <c r="A175" s="18" t="n">
        <v>44</v>
      </c>
      <c r="B175" s="18" t="s">
        <v>592</v>
      </c>
      <c r="C175" s="18" t="s">
        <v>500</v>
      </c>
      <c r="D175" s="18" t="s">
        <v>492</v>
      </c>
      <c r="E175" s="18" t="n">
        <v>1</v>
      </c>
      <c r="F175" s="18" t="n">
        <v>0</v>
      </c>
      <c r="G175" s="20" t="n">
        <v>-0.074</v>
      </c>
      <c r="H175" s="20" t="n">
        <v>0.011</v>
      </c>
      <c r="I175" s="28" t="n">
        <v>183.5</v>
      </c>
      <c r="J175" s="28" t="n">
        <v>635.5</v>
      </c>
      <c r="K175" s="28" t="n">
        <v>152.5</v>
      </c>
      <c r="L175" s="29" t="n">
        <v>4.657</v>
      </c>
      <c r="M175" s="19" t="n">
        <v>1.056</v>
      </c>
      <c r="N175" s="28" t="n">
        <v>8.88</v>
      </c>
      <c r="O175" s="18" t="n">
        <v>32</v>
      </c>
      <c r="P175" s="18" t="n">
        <v>-1.25</v>
      </c>
      <c r="Q175" s="18" t="n">
        <v>-0.93</v>
      </c>
    </row>
    <row r="176" customFormat="false" ht="15" hidden="false" customHeight="false" outlineLevel="0" collapsed="false">
      <c r="A176" s="18" t="n">
        <v>44</v>
      </c>
      <c r="B176" s="18" t="s">
        <v>593</v>
      </c>
      <c r="C176" s="18" t="s">
        <v>500</v>
      </c>
      <c r="D176" s="18" t="s">
        <v>494</v>
      </c>
      <c r="E176" s="18" t="n">
        <v>0</v>
      </c>
      <c r="F176" s="18" t="n">
        <v>1</v>
      </c>
      <c r="G176" s="20" t="n">
        <v>0.0502</v>
      </c>
      <c r="H176" s="20" t="n">
        <v>0.017</v>
      </c>
      <c r="I176" s="28" t="n">
        <v>181.2</v>
      </c>
      <c r="J176" s="28" t="n">
        <v>529.4</v>
      </c>
      <c r="K176" s="28" t="n">
        <v>103</v>
      </c>
      <c r="L176" s="29" t="n">
        <v>2.568</v>
      </c>
      <c r="M176" s="19" t="n">
        <v>0.48</v>
      </c>
      <c r="N176" s="28" t="n">
        <v>10.88</v>
      </c>
      <c r="O176" s="18" t="n">
        <v>31</v>
      </c>
      <c r="P176" s="18" t="n">
        <v>-1.25</v>
      </c>
      <c r="Q176" s="18" t="n">
        <v>-0.93</v>
      </c>
    </row>
    <row r="177" customFormat="false" ht="15" hidden="false" customHeight="false" outlineLevel="0" collapsed="false">
      <c r="A177" s="18" t="n">
        <v>44</v>
      </c>
      <c r="B177" s="18" t="s">
        <v>593</v>
      </c>
      <c r="C177" s="18" t="s">
        <v>500</v>
      </c>
      <c r="D177" s="18" t="s">
        <v>495</v>
      </c>
      <c r="E177" s="18" t="n">
        <v>1</v>
      </c>
      <c r="F177" s="18" t="n">
        <v>1</v>
      </c>
      <c r="G177" s="20" t="n">
        <v>0.0385</v>
      </c>
      <c r="H177" s="20" t="n">
        <v>0.01</v>
      </c>
      <c r="I177" s="28" t="n">
        <v>195.7</v>
      </c>
      <c r="J177" s="28" t="n">
        <v>630.8</v>
      </c>
      <c r="K177" s="28" t="n">
        <v>107.2</v>
      </c>
      <c r="L177" s="18"/>
      <c r="M177" s="19" t="n">
        <v>0.921</v>
      </c>
      <c r="N177" s="28" t="n">
        <v>7.62</v>
      </c>
      <c r="O177" s="18" t="n">
        <v>31</v>
      </c>
      <c r="P177" s="18" t="n">
        <v>-1.25</v>
      </c>
      <c r="Q177" s="18" t="n">
        <v>-0.93</v>
      </c>
    </row>
    <row r="178" customFormat="false" ht="15" hidden="false" customHeight="false" outlineLevel="0" collapsed="false">
      <c r="A178" s="18" t="n">
        <v>45</v>
      </c>
      <c r="B178" s="18" t="s">
        <v>594</v>
      </c>
      <c r="C178" s="18" t="s">
        <v>522</v>
      </c>
      <c r="D178" s="18" t="s">
        <v>491</v>
      </c>
      <c r="E178" s="18" t="n">
        <v>0</v>
      </c>
      <c r="F178" s="18" t="n">
        <v>0</v>
      </c>
      <c r="G178" s="20" t="n">
        <v>-0.0679</v>
      </c>
      <c r="H178" s="20" t="n">
        <v>0.0077</v>
      </c>
      <c r="I178" s="28" t="n">
        <v>192</v>
      </c>
      <c r="J178" s="28" t="n">
        <v>527.7</v>
      </c>
      <c r="K178" s="28" t="n">
        <v>117.6</v>
      </c>
      <c r="L178" s="18"/>
      <c r="M178" s="19" t="n">
        <v>0.98</v>
      </c>
      <c r="N178" s="28" t="n">
        <v>7.01</v>
      </c>
      <c r="O178" s="18" t="n">
        <v>32</v>
      </c>
      <c r="P178" s="18" t="n">
        <v>-1.25</v>
      </c>
      <c r="Q178" s="18" t="n">
        <v>-0.93</v>
      </c>
    </row>
    <row r="179" customFormat="false" ht="15" hidden="false" customHeight="false" outlineLevel="0" collapsed="false">
      <c r="A179" s="18" t="n">
        <v>45</v>
      </c>
      <c r="B179" s="18" t="s">
        <v>594</v>
      </c>
      <c r="C179" s="18" t="s">
        <v>522</v>
      </c>
      <c r="D179" s="18" t="s">
        <v>492</v>
      </c>
      <c r="E179" s="18" t="n">
        <v>1</v>
      </c>
      <c r="F179" s="18" t="n">
        <v>0</v>
      </c>
      <c r="G179" s="20" t="n">
        <v>-0.0586</v>
      </c>
      <c r="H179" s="20" t="n">
        <v>0.0068</v>
      </c>
      <c r="I179" s="28" t="n">
        <v>188.5</v>
      </c>
      <c r="J179" s="28" t="n">
        <v>631.2</v>
      </c>
      <c r="K179" s="28" t="n">
        <v>115.2</v>
      </c>
      <c r="L179" s="29" t="n">
        <v>1.615</v>
      </c>
      <c r="M179" s="19" t="n">
        <v>1.102</v>
      </c>
      <c r="N179" s="28" t="n">
        <v>7.3</v>
      </c>
      <c r="O179" s="18" t="n">
        <v>32</v>
      </c>
      <c r="P179" s="18" t="n">
        <v>-1.25</v>
      </c>
      <c r="Q179" s="18" t="n">
        <v>-0.93</v>
      </c>
    </row>
    <row r="180" customFormat="false" ht="15" hidden="false" customHeight="false" outlineLevel="0" collapsed="false">
      <c r="A180" s="18" t="n">
        <v>45</v>
      </c>
      <c r="B180" s="18" t="s">
        <v>595</v>
      </c>
      <c r="C180" s="18" t="s">
        <v>522</v>
      </c>
      <c r="D180" s="18" t="s">
        <v>494</v>
      </c>
      <c r="E180" s="18" t="n">
        <v>0</v>
      </c>
      <c r="F180" s="18" t="n">
        <v>1</v>
      </c>
      <c r="G180" s="20" t="n">
        <v>0.0313</v>
      </c>
      <c r="H180" s="20" t="n">
        <v>0.0073</v>
      </c>
      <c r="I180" s="28" t="n">
        <v>199.5</v>
      </c>
      <c r="J180" s="28" t="n">
        <v>523.7</v>
      </c>
      <c r="K180" s="28" t="n">
        <v>113.3</v>
      </c>
      <c r="L180" s="29" t="n">
        <v>2.399</v>
      </c>
      <c r="M180" s="19" t="n">
        <v>1.11</v>
      </c>
      <c r="N180" s="28" t="n">
        <v>7.19</v>
      </c>
      <c r="O180" s="18" t="n">
        <v>31</v>
      </c>
      <c r="P180" s="18" t="n">
        <v>-1.25</v>
      </c>
      <c r="Q180" s="18" t="n">
        <v>-0.93</v>
      </c>
    </row>
    <row r="181" customFormat="false" ht="15" hidden="false" customHeight="false" outlineLevel="0" collapsed="false">
      <c r="A181" s="18" t="n">
        <v>45</v>
      </c>
      <c r="B181" s="18" t="s">
        <v>595</v>
      </c>
      <c r="C181" s="18" t="s">
        <v>522</v>
      </c>
      <c r="D181" s="18" t="s">
        <v>495</v>
      </c>
      <c r="E181" s="18" t="n">
        <v>1</v>
      </c>
      <c r="F181" s="18" t="n">
        <v>1</v>
      </c>
      <c r="G181" s="20" t="n">
        <v>0.0265</v>
      </c>
      <c r="H181" s="20" t="n">
        <v>0.0109</v>
      </c>
      <c r="I181" s="28" t="n">
        <v>192.4</v>
      </c>
      <c r="J181" s="28" t="n">
        <v>629.9</v>
      </c>
      <c r="K181" s="28" t="n">
        <v>118.5</v>
      </c>
      <c r="L181" s="18"/>
      <c r="M181" s="19" t="n">
        <v>1.256</v>
      </c>
      <c r="N181" s="28" t="n">
        <v>5.9</v>
      </c>
      <c r="O181" s="18" t="n">
        <v>31</v>
      </c>
      <c r="P181" s="18" t="n">
        <v>-1.25</v>
      </c>
      <c r="Q181" s="18" t="n">
        <v>-0.93</v>
      </c>
    </row>
    <row r="182" customFormat="false" ht="15" hidden="false" customHeight="false" outlineLevel="0" collapsed="false">
      <c r="A182" s="18" t="n">
        <v>46</v>
      </c>
      <c r="B182" s="18" t="s">
        <v>596</v>
      </c>
      <c r="C182" s="18" t="s">
        <v>597</v>
      </c>
      <c r="D182" s="18" t="s">
        <v>491</v>
      </c>
      <c r="E182" s="18" t="n">
        <v>0</v>
      </c>
      <c r="F182" s="18" t="n">
        <v>0</v>
      </c>
      <c r="G182" s="20" t="n">
        <v>-0.0564</v>
      </c>
      <c r="H182" s="20" t="n">
        <v>0.01</v>
      </c>
      <c r="I182" s="28" t="n">
        <v>187</v>
      </c>
      <c r="J182" s="28" t="n">
        <v>608.7</v>
      </c>
      <c r="K182" s="28" t="n">
        <v>128.3</v>
      </c>
      <c r="L182" s="29" t="n">
        <v>2.594</v>
      </c>
      <c r="M182" s="19" t="n">
        <v>0.313</v>
      </c>
      <c r="N182" s="28" t="n">
        <v>10.49</v>
      </c>
      <c r="O182" s="18" t="n">
        <v>33</v>
      </c>
      <c r="P182" s="18" t="n">
        <v>-1.25</v>
      </c>
      <c r="Q182" s="18" t="n">
        <v>-0.83</v>
      </c>
    </row>
    <row r="183" customFormat="false" ht="15" hidden="false" customHeight="false" outlineLevel="0" collapsed="false">
      <c r="A183" s="18" t="n">
        <v>46</v>
      </c>
      <c r="B183" s="18" t="s">
        <v>596</v>
      </c>
      <c r="C183" s="18" t="s">
        <v>597</v>
      </c>
      <c r="D183" s="18" t="s">
        <v>492</v>
      </c>
      <c r="E183" s="18" t="n">
        <v>1</v>
      </c>
      <c r="F183" s="18" t="n">
        <v>0</v>
      </c>
      <c r="G183" s="20" t="n">
        <v>-0.0512</v>
      </c>
      <c r="H183" s="20" t="n">
        <v>0.0078</v>
      </c>
      <c r="I183" s="28" t="n">
        <v>186.5</v>
      </c>
      <c r="J183" s="28" t="n">
        <v>713.4</v>
      </c>
      <c r="K183" s="28" t="n">
        <v>132</v>
      </c>
      <c r="L183" s="29" t="n">
        <v>2.447</v>
      </c>
      <c r="M183" s="19" t="n">
        <v>1.15</v>
      </c>
      <c r="N183" s="28" t="n">
        <v>8.64</v>
      </c>
      <c r="O183" s="18" t="n">
        <v>33</v>
      </c>
      <c r="P183" s="18" t="n">
        <v>-1.25</v>
      </c>
      <c r="Q183" s="18" t="n">
        <v>-0.83</v>
      </c>
    </row>
    <row r="184" customFormat="false" ht="15" hidden="false" customHeight="false" outlineLevel="0" collapsed="false">
      <c r="A184" s="18" t="n">
        <v>46</v>
      </c>
      <c r="B184" s="18" t="s">
        <v>598</v>
      </c>
      <c r="C184" s="18" t="s">
        <v>597</v>
      </c>
      <c r="D184" s="18" t="s">
        <v>494</v>
      </c>
      <c r="E184" s="18" t="n">
        <v>0</v>
      </c>
      <c r="F184" s="18" t="n">
        <v>1</v>
      </c>
      <c r="G184" s="20" t="n">
        <v>0.0718</v>
      </c>
      <c r="H184" s="20" t="n">
        <v>0.0084</v>
      </c>
      <c r="I184" s="28" t="n">
        <v>214.9</v>
      </c>
      <c r="J184" s="28" t="n">
        <v>610.4</v>
      </c>
      <c r="K184" s="28" t="n">
        <v>116.9</v>
      </c>
      <c r="L184" s="29" t="n">
        <v>2.476</v>
      </c>
      <c r="M184" s="19" t="n">
        <v>1.79</v>
      </c>
      <c r="N184" s="28" t="n">
        <v>9.19</v>
      </c>
      <c r="O184" s="18" t="n">
        <v>29</v>
      </c>
      <c r="P184" s="18" t="n">
        <v>-1.25</v>
      </c>
      <c r="Q184" s="18" t="n">
        <v>-0.83</v>
      </c>
    </row>
    <row r="185" customFormat="false" ht="15" hidden="false" customHeight="false" outlineLevel="0" collapsed="false">
      <c r="A185" s="18" t="n">
        <v>46</v>
      </c>
      <c r="B185" s="18" t="s">
        <v>598</v>
      </c>
      <c r="C185" s="18" t="s">
        <v>597</v>
      </c>
      <c r="D185" s="18" t="s">
        <v>495</v>
      </c>
      <c r="E185" s="18" t="n">
        <v>1</v>
      </c>
      <c r="F185" s="18" t="n">
        <v>1</v>
      </c>
      <c r="G185" s="20" t="n">
        <v>0.0351</v>
      </c>
      <c r="H185" s="20" t="n">
        <v>0.0111</v>
      </c>
      <c r="I185" s="28" t="n">
        <v>179.8</v>
      </c>
      <c r="J185" s="28" t="n">
        <v>720.3</v>
      </c>
      <c r="K185" s="28" t="n">
        <v>127</v>
      </c>
      <c r="L185" s="18"/>
      <c r="M185" s="19" t="n">
        <v>1.03</v>
      </c>
      <c r="N185" s="28" t="n">
        <v>9.01</v>
      </c>
      <c r="O185" s="18" t="n">
        <v>29</v>
      </c>
      <c r="P185" s="18" t="n">
        <v>-1.25</v>
      </c>
      <c r="Q185" s="18" t="n">
        <v>-0.83</v>
      </c>
    </row>
    <row r="186" customFormat="false" ht="15" hidden="false" customHeight="false" outlineLevel="0" collapsed="false">
      <c r="A186" s="18" t="n">
        <v>47</v>
      </c>
      <c r="B186" s="18" t="s">
        <v>599</v>
      </c>
      <c r="C186" s="18" t="s">
        <v>497</v>
      </c>
      <c r="D186" s="18" t="s">
        <v>491</v>
      </c>
      <c r="E186" s="18" t="n">
        <v>0</v>
      </c>
      <c r="F186" s="18" t="n">
        <v>0</v>
      </c>
      <c r="G186" s="20" t="n">
        <v>-0.0373</v>
      </c>
      <c r="H186" s="20" t="n">
        <v>0.007</v>
      </c>
      <c r="I186" s="28" t="n">
        <v>188.2</v>
      </c>
      <c r="J186" s="28" t="n">
        <v>526</v>
      </c>
      <c r="K186" s="28" t="n">
        <v>129.7</v>
      </c>
      <c r="L186" s="18"/>
      <c r="M186" s="19" t="n">
        <v>0.746</v>
      </c>
      <c r="N186" s="28" t="n">
        <v>8.85</v>
      </c>
      <c r="O186" s="18" t="n">
        <v>33</v>
      </c>
      <c r="P186" s="18" t="n">
        <v>-1.25</v>
      </c>
      <c r="Q186" s="18" t="n">
        <v>-0.93</v>
      </c>
    </row>
    <row r="187" customFormat="false" ht="15" hidden="false" customHeight="false" outlineLevel="0" collapsed="false">
      <c r="A187" s="18" t="n">
        <v>47</v>
      </c>
      <c r="B187" s="18" t="s">
        <v>599</v>
      </c>
      <c r="C187" s="18" t="s">
        <v>497</v>
      </c>
      <c r="D187" s="18" t="s">
        <v>492</v>
      </c>
      <c r="E187" s="18" t="n">
        <v>1</v>
      </c>
      <c r="F187" s="18" t="n">
        <v>0</v>
      </c>
      <c r="G187" s="20" t="n">
        <v>-0.0453</v>
      </c>
      <c r="H187" s="20" t="n">
        <v>0.0064</v>
      </c>
      <c r="I187" s="28" t="n">
        <v>192.5</v>
      </c>
      <c r="J187" s="28" t="n">
        <v>630.4</v>
      </c>
      <c r="K187" s="28" t="n">
        <v>138.3</v>
      </c>
      <c r="L187" s="29" t="n">
        <v>0.926</v>
      </c>
      <c r="M187" s="19" t="n">
        <v>1.404</v>
      </c>
      <c r="N187" s="28" t="n">
        <v>6.54</v>
      </c>
      <c r="O187" s="18" t="n">
        <v>33</v>
      </c>
      <c r="P187" s="18" t="n">
        <v>-1.25</v>
      </c>
      <c r="Q187" s="18" t="n">
        <v>-0.93</v>
      </c>
    </row>
    <row r="188" customFormat="false" ht="15" hidden="false" customHeight="false" outlineLevel="0" collapsed="false">
      <c r="A188" s="18" t="n">
        <v>47</v>
      </c>
      <c r="B188" s="18" t="s">
        <v>600</v>
      </c>
      <c r="C188" s="18" t="s">
        <v>497</v>
      </c>
      <c r="D188" s="18" t="s">
        <v>494</v>
      </c>
      <c r="E188" s="18" t="n">
        <v>0</v>
      </c>
      <c r="F188" s="18" t="n">
        <v>1</v>
      </c>
      <c r="G188" s="20" t="n">
        <v>0.05</v>
      </c>
      <c r="H188" s="20" t="n">
        <v>0.0119</v>
      </c>
      <c r="I188" s="28" t="n">
        <v>177</v>
      </c>
      <c r="J188" s="28" t="n">
        <v>530.4</v>
      </c>
      <c r="K188" s="28" t="n">
        <v>110.9</v>
      </c>
      <c r="L188" s="29" t="n">
        <v>1.206</v>
      </c>
      <c r="M188" s="19" t="n">
        <v>1.267</v>
      </c>
      <c r="N188" s="28" t="n">
        <v>8.42</v>
      </c>
      <c r="O188" s="18" t="n">
        <v>30</v>
      </c>
      <c r="P188" s="18" t="n">
        <v>-1.25</v>
      </c>
      <c r="Q188" s="18" t="n">
        <v>-0.93</v>
      </c>
    </row>
    <row r="189" customFormat="false" ht="15" hidden="false" customHeight="false" outlineLevel="0" collapsed="false">
      <c r="A189" s="18" t="n">
        <v>47</v>
      </c>
      <c r="B189" s="18" t="s">
        <v>600</v>
      </c>
      <c r="C189" s="18" t="s">
        <v>497</v>
      </c>
      <c r="D189" s="18" t="s">
        <v>495</v>
      </c>
      <c r="E189" s="18" t="n">
        <v>1</v>
      </c>
      <c r="F189" s="18" t="n">
        <v>1</v>
      </c>
      <c r="G189" s="20" t="n">
        <v>0.0637</v>
      </c>
      <c r="H189" s="20" t="n">
        <v>0.0097</v>
      </c>
      <c r="I189" s="28" t="n">
        <v>203.6</v>
      </c>
      <c r="J189" s="28" t="n">
        <v>632.5</v>
      </c>
      <c r="K189" s="28" t="n">
        <v>122.2</v>
      </c>
      <c r="L189" s="29" t="n">
        <v>2.576</v>
      </c>
      <c r="M189" s="19" t="n">
        <v>1.928</v>
      </c>
      <c r="N189" s="28" t="n">
        <v>8.42</v>
      </c>
      <c r="O189" s="18" t="n">
        <v>30</v>
      </c>
      <c r="P189" s="18" t="n">
        <v>-1.25</v>
      </c>
      <c r="Q189" s="18" t="n">
        <v>-0.93</v>
      </c>
    </row>
    <row r="190" customFormat="false" ht="15" hidden="false" customHeight="false" outlineLevel="0" collapsed="false">
      <c r="A190" s="18" t="n">
        <v>48</v>
      </c>
      <c r="B190" s="18" t="s">
        <v>601</v>
      </c>
      <c r="C190" s="18" t="s">
        <v>500</v>
      </c>
      <c r="D190" s="18" t="s">
        <v>491</v>
      </c>
      <c r="E190" s="18" t="n">
        <v>0</v>
      </c>
      <c r="F190" s="18" t="n">
        <v>0</v>
      </c>
      <c r="G190" s="20" t="n">
        <v>-0.0443</v>
      </c>
      <c r="H190" s="20" t="n">
        <v>0.0063</v>
      </c>
      <c r="I190" s="28" t="n">
        <v>195.3</v>
      </c>
      <c r="J190" s="28" t="n">
        <v>525.9</v>
      </c>
      <c r="K190" s="28" t="n">
        <v>128.1</v>
      </c>
      <c r="L190" s="29" t="n">
        <v>2.038</v>
      </c>
      <c r="M190" s="19" t="n">
        <v>1.005</v>
      </c>
      <c r="N190" s="28" t="n">
        <v>8.64</v>
      </c>
      <c r="O190" s="18" t="n">
        <v>33</v>
      </c>
      <c r="P190" s="18" t="n">
        <v>-1.25</v>
      </c>
      <c r="Q190" s="18" t="n">
        <v>-0.93</v>
      </c>
    </row>
    <row r="191" customFormat="false" ht="15" hidden="false" customHeight="false" outlineLevel="0" collapsed="false">
      <c r="A191" s="18" t="n">
        <v>48</v>
      </c>
      <c r="B191" s="18" t="s">
        <v>601</v>
      </c>
      <c r="C191" s="18" t="s">
        <v>500</v>
      </c>
      <c r="D191" s="18" t="s">
        <v>492</v>
      </c>
      <c r="E191" s="18" t="n">
        <v>1</v>
      </c>
      <c r="F191" s="18" t="n">
        <v>0</v>
      </c>
      <c r="G191" s="20" t="n">
        <v>-0.0395</v>
      </c>
      <c r="H191" s="20" t="n">
        <v>0.0122</v>
      </c>
      <c r="I191" s="28" t="n">
        <v>173.9</v>
      </c>
      <c r="J191" s="28" t="n">
        <v>631.9</v>
      </c>
      <c r="K191" s="28" t="n">
        <v>130.8</v>
      </c>
      <c r="L191" s="29" t="n">
        <v>4.885</v>
      </c>
      <c r="M191" s="19" t="n">
        <v>1.732</v>
      </c>
      <c r="N191" s="28" t="n">
        <v>8.47</v>
      </c>
      <c r="O191" s="18" t="n">
        <v>33</v>
      </c>
      <c r="P191" s="18" t="n">
        <v>-1.25</v>
      </c>
      <c r="Q191" s="18" t="n">
        <v>-0.93</v>
      </c>
    </row>
    <row r="192" customFormat="false" ht="15" hidden="false" customHeight="false" outlineLevel="0" collapsed="false">
      <c r="A192" s="18" t="n">
        <v>48</v>
      </c>
      <c r="B192" s="18" t="s">
        <v>602</v>
      </c>
      <c r="C192" s="18" t="s">
        <v>500</v>
      </c>
      <c r="D192" s="18" t="s">
        <v>494</v>
      </c>
      <c r="E192" s="18" t="n">
        <v>0</v>
      </c>
      <c r="F192" s="18" t="n">
        <v>1</v>
      </c>
      <c r="G192" s="20" t="n">
        <v>0.0484</v>
      </c>
      <c r="H192" s="20" t="n">
        <v>0.0094</v>
      </c>
      <c r="I192" s="28" t="n">
        <v>180.4</v>
      </c>
      <c r="J192" s="28" t="n">
        <v>527.6</v>
      </c>
      <c r="K192" s="28" t="n">
        <v>152.4</v>
      </c>
      <c r="L192" s="29" t="n">
        <v>1.743</v>
      </c>
      <c r="M192" s="19" t="n">
        <v>0.561</v>
      </c>
      <c r="N192" s="28" t="n">
        <v>9.77</v>
      </c>
      <c r="O192" s="18" t="n">
        <v>30</v>
      </c>
      <c r="P192" s="18" t="n">
        <v>-1.25</v>
      </c>
      <c r="Q192" s="18" t="n">
        <v>-0.93</v>
      </c>
    </row>
    <row r="193" customFormat="false" ht="15" hidden="false" customHeight="false" outlineLevel="0" collapsed="false">
      <c r="A193" s="18" t="n">
        <v>48</v>
      </c>
      <c r="B193" s="18" t="s">
        <v>602</v>
      </c>
      <c r="C193" s="18" t="s">
        <v>500</v>
      </c>
      <c r="D193" s="18" t="s">
        <v>495</v>
      </c>
      <c r="E193" s="18" t="n">
        <v>1</v>
      </c>
      <c r="F193" s="18" t="n">
        <v>1</v>
      </c>
      <c r="G193" s="20" t="n">
        <v>0.0386</v>
      </c>
      <c r="H193" s="20" t="n">
        <v>0.0097</v>
      </c>
      <c r="I193" s="28" t="n">
        <v>207.4</v>
      </c>
      <c r="J193" s="28" t="n">
        <v>628.9</v>
      </c>
      <c r="K193" s="28" t="n">
        <v>134.8</v>
      </c>
      <c r="L193" s="29" t="n">
        <v>4.579</v>
      </c>
      <c r="M193" s="19" t="n">
        <v>0.949</v>
      </c>
      <c r="N193" s="28" t="n">
        <v>7.89</v>
      </c>
      <c r="O193" s="18" t="n">
        <v>30</v>
      </c>
      <c r="P193" s="18" t="n">
        <v>-1.25</v>
      </c>
      <c r="Q193" s="18" t="n">
        <v>-0.93</v>
      </c>
    </row>
    <row r="194" customFormat="false" ht="15" hidden="false" customHeight="false" outlineLevel="0" collapsed="false">
      <c r="A194" s="18" t="n">
        <v>49</v>
      </c>
      <c r="B194" s="18" t="s">
        <v>603</v>
      </c>
      <c r="C194" s="18" t="s">
        <v>500</v>
      </c>
      <c r="D194" s="18" t="s">
        <v>491</v>
      </c>
      <c r="E194" s="18" t="n">
        <v>0</v>
      </c>
      <c r="F194" s="18" t="n">
        <v>0</v>
      </c>
      <c r="G194" s="20" t="n">
        <v>-0.0504</v>
      </c>
      <c r="H194" s="20" t="n">
        <v>0.0085</v>
      </c>
      <c r="I194" s="28" t="n">
        <v>183.1</v>
      </c>
      <c r="J194" s="28" t="n">
        <v>526.7</v>
      </c>
      <c r="K194" s="28" t="n">
        <v>174.7</v>
      </c>
      <c r="L194" s="18"/>
      <c r="M194" s="19" t="n">
        <v>0.94</v>
      </c>
      <c r="N194" s="28" t="n">
        <v>8.79</v>
      </c>
      <c r="O194" s="18" t="n">
        <v>39</v>
      </c>
      <c r="P194" s="18" t="n">
        <v>-1.25</v>
      </c>
      <c r="Q194" s="18" t="n">
        <v>-0.93</v>
      </c>
    </row>
    <row r="195" customFormat="false" ht="15" hidden="false" customHeight="false" outlineLevel="0" collapsed="false">
      <c r="A195" s="18" t="n">
        <v>49</v>
      </c>
      <c r="B195" s="18" t="s">
        <v>603</v>
      </c>
      <c r="C195" s="18" t="s">
        <v>500</v>
      </c>
      <c r="D195" s="18" t="s">
        <v>492</v>
      </c>
      <c r="E195" s="18" t="n">
        <v>1</v>
      </c>
      <c r="F195" s="18" t="n">
        <v>0</v>
      </c>
      <c r="G195" s="20" t="n">
        <v>-0.042</v>
      </c>
      <c r="H195" s="20" t="n">
        <v>0.0095</v>
      </c>
      <c r="I195" s="28" t="n">
        <v>171.5</v>
      </c>
      <c r="J195" s="28" t="n">
        <v>632.3</v>
      </c>
      <c r="K195" s="28" t="n">
        <v>173.7</v>
      </c>
      <c r="L195" s="18"/>
      <c r="M195" s="19" t="n">
        <v>1.219</v>
      </c>
      <c r="N195" s="28" t="n">
        <v>8.08</v>
      </c>
      <c r="O195" s="18" t="n">
        <v>39</v>
      </c>
      <c r="P195" s="18" t="n">
        <v>-1.25</v>
      </c>
      <c r="Q195" s="18" t="n">
        <v>-0.93</v>
      </c>
    </row>
    <row r="196" customFormat="false" ht="15" hidden="false" customHeight="false" outlineLevel="0" collapsed="false">
      <c r="A196" s="18" t="n">
        <v>49</v>
      </c>
      <c r="B196" s="18" t="s">
        <v>604</v>
      </c>
      <c r="C196" s="18" t="s">
        <v>500</v>
      </c>
      <c r="D196" s="18" t="s">
        <v>494</v>
      </c>
      <c r="E196" s="18" t="n">
        <v>0</v>
      </c>
      <c r="F196" s="18" t="n">
        <v>1</v>
      </c>
      <c r="G196" s="20" t="n">
        <v>0.0561</v>
      </c>
      <c r="H196" s="20" t="n">
        <v>0.0078</v>
      </c>
      <c r="I196" s="28" t="n">
        <v>186.2</v>
      </c>
      <c r="J196" s="28" t="n">
        <v>525.4</v>
      </c>
      <c r="K196" s="28" t="n">
        <v>152.6</v>
      </c>
      <c r="L196" s="29" t="n">
        <v>5.688</v>
      </c>
      <c r="M196" s="19" t="n">
        <v>0.982</v>
      </c>
      <c r="N196" s="28" t="n">
        <v>9.27</v>
      </c>
      <c r="O196" s="18" t="n">
        <v>37</v>
      </c>
      <c r="P196" s="18" t="n">
        <v>-1.25</v>
      </c>
      <c r="Q196" s="18" t="n">
        <v>-0.93</v>
      </c>
    </row>
    <row r="197" customFormat="false" ht="15" hidden="false" customHeight="false" outlineLevel="0" collapsed="false">
      <c r="A197" s="18" t="n">
        <v>49</v>
      </c>
      <c r="B197" s="18" t="s">
        <v>604</v>
      </c>
      <c r="C197" s="18" t="s">
        <v>500</v>
      </c>
      <c r="D197" s="18" t="s">
        <v>495</v>
      </c>
      <c r="E197" s="18" t="n">
        <v>1</v>
      </c>
      <c r="F197" s="18" t="n">
        <v>1</v>
      </c>
      <c r="G197" s="20" t="n">
        <v>0.0488</v>
      </c>
      <c r="H197" s="20" t="n">
        <v>0.0119</v>
      </c>
      <c r="I197" s="28" t="n">
        <v>185</v>
      </c>
      <c r="J197" s="28" t="n">
        <v>632.4</v>
      </c>
      <c r="K197" s="28" t="n">
        <v>172.3</v>
      </c>
      <c r="L197" s="18"/>
      <c r="M197" s="19" t="n">
        <v>1.663</v>
      </c>
      <c r="N197" s="28" t="n">
        <v>10.09</v>
      </c>
      <c r="O197" s="18" t="n">
        <v>37</v>
      </c>
      <c r="P197" s="18" t="n">
        <v>-1.25</v>
      </c>
      <c r="Q197" s="18" t="n">
        <v>-0.93</v>
      </c>
    </row>
    <row r="198" customFormat="false" ht="15" hidden="false" customHeight="false" outlineLevel="0" collapsed="false">
      <c r="A198" s="18" t="n">
        <v>50</v>
      </c>
      <c r="B198" s="18" t="s">
        <v>605</v>
      </c>
      <c r="C198" s="18" t="s">
        <v>577</v>
      </c>
      <c r="D198" s="18" t="s">
        <v>491</v>
      </c>
      <c r="E198" s="18" t="n">
        <v>0</v>
      </c>
      <c r="F198" s="18" t="n">
        <v>0</v>
      </c>
      <c r="G198" s="20" t="n">
        <v>-0.0674</v>
      </c>
      <c r="H198" s="20" t="n">
        <v>0.0079</v>
      </c>
      <c r="I198" s="28" t="n">
        <v>197.6</v>
      </c>
      <c r="J198" s="28" t="n">
        <v>875.8</v>
      </c>
      <c r="K198" s="28" t="n">
        <v>147.9</v>
      </c>
      <c r="L198" s="29" t="n">
        <v>0.468</v>
      </c>
      <c r="M198" s="19" t="n">
        <v>1.008</v>
      </c>
      <c r="N198" s="28" t="n">
        <v>9.3</v>
      </c>
      <c r="O198" s="18" t="n">
        <v>33</v>
      </c>
      <c r="P198" s="18" t="n">
        <v>-1.5</v>
      </c>
      <c r="Q198" s="18" t="n">
        <v>-0.93</v>
      </c>
    </row>
    <row r="199" customFormat="false" ht="15" hidden="false" customHeight="false" outlineLevel="0" collapsed="false">
      <c r="A199" s="18" t="n">
        <v>50</v>
      </c>
      <c r="B199" s="18" t="s">
        <v>605</v>
      </c>
      <c r="C199" s="18" t="s">
        <v>577</v>
      </c>
      <c r="D199" s="18" t="s">
        <v>492</v>
      </c>
      <c r="E199" s="18" t="n">
        <v>1</v>
      </c>
      <c r="F199" s="18" t="n">
        <v>0</v>
      </c>
      <c r="G199" s="20" t="n">
        <v>-0.0662</v>
      </c>
      <c r="H199" s="20" t="n">
        <v>0.0144</v>
      </c>
      <c r="I199" s="28" t="n">
        <v>211.3</v>
      </c>
      <c r="J199" s="28" t="n">
        <v>984.6</v>
      </c>
      <c r="K199" s="28" t="n">
        <v>136.8</v>
      </c>
      <c r="L199" s="29" t="n">
        <v>5.523</v>
      </c>
      <c r="M199" s="19" t="n">
        <v>1.066</v>
      </c>
      <c r="N199" s="28" t="n">
        <v>11.35</v>
      </c>
      <c r="O199" s="18" t="n">
        <v>33</v>
      </c>
      <c r="P199" s="18" t="n">
        <v>-1.5</v>
      </c>
      <c r="Q199" s="18" t="n">
        <v>-0.93</v>
      </c>
    </row>
    <row r="200" customFormat="false" ht="15" hidden="false" customHeight="false" outlineLevel="0" collapsed="false">
      <c r="A200" s="18" t="n">
        <v>50</v>
      </c>
      <c r="B200" s="18" t="s">
        <v>606</v>
      </c>
      <c r="C200" s="18" t="s">
        <v>577</v>
      </c>
      <c r="D200" s="18" t="s">
        <v>494</v>
      </c>
      <c r="E200" s="18" t="n">
        <v>0</v>
      </c>
      <c r="F200" s="18" t="n">
        <v>1</v>
      </c>
      <c r="G200" s="20" t="n">
        <v>0.0761</v>
      </c>
      <c r="H200" s="20" t="n">
        <v>0.0115</v>
      </c>
      <c r="I200" s="28" t="n">
        <v>195.4</v>
      </c>
      <c r="J200" s="28" t="n">
        <v>875.8</v>
      </c>
      <c r="K200" s="28" t="n">
        <v>128.9</v>
      </c>
      <c r="L200" s="29" t="n">
        <v>2.009</v>
      </c>
      <c r="M200" s="19" t="n">
        <v>1.591</v>
      </c>
      <c r="N200" s="28" t="n">
        <v>8.83</v>
      </c>
      <c r="O200" s="18" t="n">
        <v>33</v>
      </c>
      <c r="P200" s="18" t="n">
        <v>-1.5</v>
      </c>
      <c r="Q200" s="18" t="n">
        <v>-0.93</v>
      </c>
    </row>
    <row r="201" customFormat="false" ht="15" hidden="false" customHeight="false" outlineLevel="0" collapsed="false">
      <c r="A201" s="18" t="n">
        <v>50</v>
      </c>
      <c r="B201" s="18" t="s">
        <v>606</v>
      </c>
      <c r="C201" s="18" t="s">
        <v>577</v>
      </c>
      <c r="D201" s="18" t="s">
        <v>495</v>
      </c>
      <c r="E201" s="18" t="n">
        <v>1</v>
      </c>
      <c r="F201" s="18" t="n">
        <v>1</v>
      </c>
      <c r="G201" s="20" t="n">
        <v>0.0695</v>
      </c>
      <c r="H201" s="20" t="n">
        <v>0.0099</v>
      </c>
      <c r="I201" s="28" t="n">
        <v>217.1</v>
      </c>
      <c r="J201" s="28" t="n">
        <v>983.6</v>
      </c>
      <c r="K201" s="28" t="n">
        <v>154.1</v>
      </c>
      <c r="L201" s="29" t="n">
        <v>0.966</v>
      </c>
      <c r="M201" s="19" t="n">
        <v>0.787</v>
      </c>
      <c r="N201" s="28" t="n">
        <v>9.89</v>
      </c>
      <c r="O201" s="18" t="n">
        <v>33</v>
      </c>
      <c r="P201" s="18" t="n">
        <v>-1.5</v>
      </c>
      <c r="Q201" s="18" t="n">
        <v>-0.93</v>
      </c>
    </row>
    <row r="202" customFormat="false" ht="15" hidden="false" customHeight="false" outlineLevel="0" collapsed="false">
      <c r="A202" s="18" t="n">
        <v>51</v>
      </c>
      <c r="B202" s="18" t="s">
        <v>607</v>
      </c>
      <c r="C202" s="18" t="s">
        <v>522</v>
      </c>
      <c r="D202" s="18" t="s">
        <v>491</v>
      </c>
      <c r="E202" s="18" t="n">
        <v>0</v>
      </c>
      <c r="F202" s="18" t="n">
        <v>0</v>
      </c>
      <c r="G202" s="20" t="n">
        <v>-0.0528</v>
      </c>
      <c r="H202" s="20" t="n">
        <v>0.0126</v>
      </c>
      <c r="I202" s="28" t="n">
        <v>168.4</v>
      </c>
      <c r="J202" s="28" t="n">
        <v>521.9</v>
      </c>
      <c r="K202" s="28" t="n">
        <v>139.1</v>
      </c>
      <c r="L202" s="18"/>
      <c r="M202" s="19" t="n">
        <v>0.51</v>
      </c>
      <c r="N202" s="28" t="n">
        <v>10.6</v>
      </c>
      <c r="O202" s="18" t="n">
        <v>35</v>
      </c>
      <c r="P202" s="18" t="n">
        <v>-1.25</v>
      </c>
      <c r="Q202" s="18" t="n">
        <v>-0.93</v>
      </c>
    </row>
    <row r="203" customFormat="false" ht="15" hidden="false" customHeight="false" outlineLevel="0" collapsed="false">
      <c r="A203" s="18" t="n">
        <v>51</v>
      </c>
      <c r="B203" s="18" t="s">
        <v>607</v>
      </c>
      <c r="C203" s="18" t="s">
        <v>522</v>
      </c>
      <c r="D203" s="18" t="s">
        <v>492</v>
      </c>
      <c r="E203" s="18" t="n">
        <v>1</v>
      </c>
      <c r="F203" s="18" t="n">
        <v>0</v>
      </c>
      <c r="G203" s="20" t="n">
        <v>-0.0329</v>
      </c>
      <c r="H203" s="20" t="n">
        <v>0.0258</v>
      </c>
      <c r="I203" s="28" t="n">
        <v>155.1</v>
      </c>
      <c r="J203" s="28" t="n">
        <v>632</v>
      </c>
      <c r="K203" s="28" t="n">
        <v>127</v>
      </c>
      <c r="L203" s="29" t="n">
        <v>4.101</v>
      </c>
      <c r="M203" s="19" t="n">
        <v>1.224</v>
      </c>
      <c r="N203" s="28" t="n">
        <v>13.1</v>
      </c>
      <c r="O203" s="18" t="n">
        <v>35</v>
      </c>
      <c r="P203" s="18" t="n">
        <v>-1.25</v>
      </c>
      <c r="Q203" s="18" t="n">
        <v>-0.93</v>
      </c>
    </row>
    <row r="204" customFormat="false" ht="15" hidden="false" customHeight="false" outlineLevel="0" collapsed="false">
      <c r="A204" s="18" t="n">
        <v>51</v>
      </c>
      <c r="B204" s="18" t="s">
        <v>608</v>
      </c>
      <c r="C204" s="18" t="s">
        <v>522</v>
      </c>
      <c r="D204" s="18" t="s">
        <v>494</v>
      </c>
      <c r="E204" s="18" t="n">
        <v>0</v>
      </c>
      <c r="F204" s="18" t="n">
        <v>1</v>
      </c>
      <c r="G204" s="20" t="n">
        <v>0.0511</v>
      </c>
      <c r="H204" s="20" t="n">
        <v>0.0078</v>
      </c>
      <c r="I204" s="28" t="n">
        <v>185.7</v>
      </c>
      <c r="J204" s="28" t="n">
        <v>527.2</v>
      </c>
      <c r="K204" s="28" t="n">
        <v>113.5</v>
      </c>
      <c r="L204" s="29" t="n">
        <v>1.76</v>
      </c>
      <c r="M204" s="19" t="n">
        <v>1.012</v>
      </c>
      <c r="N204" s="28" t="n">
        <v>8.65</v>
      </c>
      <c r="O204" s="18" t="n">
        <v>30</v>
      </c>
      <c r="P204" s="18" t="n">
        <v>-1.25</v>
      </c>
      <c r="Q204" s="18" t="n">
        <v>-0.93</v>
      </c>
    </row>
    <row r="205" customFormat="false" ht="15" hidden="false" customHeight="false" outlineLevel="0" collapsed="false">
      <c r="A205" s="18" t="n">
        <v>51</v>
      </c>
      <c r="B205" s="18" t="s">
        <v>608</v>
      </c>
      <c r="C205" s="18" t="s">
        <v>522</v>
      </c>
      <c r="D205" s="18" t="s">
        <v>495</v>
      </c>
      <c r="E205" s="18" t="n">
        <v>1</v>
      </c>
      <c r="F205" s="18" t="n">
        <v>1</v>
      </c>
      <c r="G205" s="20" t="n">
        <v>0.029</v>
      </c>
      <c r="H205" s="20" t="n">
        <v>0.0064</v>
      </c>
      <c r="I205" s="28" t="n">
        <v>190.1</v>
      </c>
      <c r="J205" s="28" t="n">
        <v>632.1</v>
      </c>
      <c r="K205" s="28" t="n">
        <v>122.9</v>
      </c>
      <c r="L205" s="29" t="n">
        <v>5.652</v>
      </c>
      <c r="M205" s="19" t="n">
        <v>1.61</v>
      </c>
      <c r="N205" s="28" t="n">
        <v>6.69</v>
      </c>
      <c r="O205" s="18" t="n">
        <v>30</v>
      </c>
      <c r="P205" s="18" t="n">
        <v>-1.25</v>
      </c>
      <c r="Q205" s="18" t="n">
        <v>-0.93</v>
      </c>
    </row>
    <row r="206" customFormat="false" ht="15" hidden="false" customHeight="false" outlineLevel="0" collapsed="false">
      <c r="A206" s="18" t="n">
        <v>52</v>
      </c>
      <c r="B206" s="18" t="s">
        <v>609</v>
      </c>
      <c r="C206" s="18" t="s">
        <v>500</v>
      </c>
      <c r="D206" s="18" t="s">
        <v>491</v>
      </c>
      <c r="E206" s="18" t="n">
        <v>0</v>
      </c>
      <c r="F206" s="18" t="n">
        <v>0</v>
      </c>
      <c r="G206" s="20" t="n">
        <v>-0.0616</v>
      </c>
      <c r="H206" s="20" t="n">
        <v>0.0061</v>
      </c>
      <c r="I206" s="28" t="n">
        <v>184.2</v>
      </c>
      <c r="J206" s="28" t="n">
        <v>533.6</v>
      </c>
      <c r="K206" s="28" t="n">
        <v>105.4</v>
      </c>
      <c r="L206" s="29" t="n">
        <v>1.038</v>
      </c>
      <c r="M206" s="19" t="n">
        <v>0.943</v>
      </c>
      <c r="N206" s="28" t="n">
        <v>7.31</v>
      </c>
      <c r="O206" s="18" t="n">
        <v>31</v>
      </c>
      <c r="P206" s="18" t="n">
        <v>-1.25</v>
      </c>
      <c r="Q206" s="18" t="n">
        <v>-0.93</v>
      </c>
    </row>
    <row r="207" customFormat="false" ht="15" hidden="false" customHeight="false" outlineLevel="0" collapsed="false">
      <c r="A207" s="18" t="n">
        <v>52</v>
      </c>
      <c r="B207" s="18" t="s">
        <v>609</v>
      </c>
      <c r="C207" s="18" t="s">
        <v>500</v>
      </c>
      <c r="D207" s="18" t="s">
        <v>492</v>
      </c>
      <c r="E207" s="18" t="n">
        <v>1</v>
      </c>
      <c r="F207" s="18" t="n">
        <v>0</v>
      </c>
      <c r="G207" s="20" t="n">
        <v>-0.05</v>
      </c>
      <c r="H207" s="20" t="n">
        <v>0.0071</v>
      </c>
      <c r="I207" s="28" t="n">
        <v>186.6</v>
      </c>
      <c r="J207" s="28" t="n">
        <v>635.6</v>
      </c>
      <c r="K207" s="28" t="n">
        <v>109.7</v>
      </c>
      <c r="L207" s="18"/>
      <c r="M207" s="19" t="n">
        <v>2.743</v>
      </c>
      <c r="N207" s="28" t="n">
        <v>6.61</v>
      </c>
      <c r="O207" s="18" t="n">
        <v>31</v>
      </c>
      <c r="P207" s="18" t="n">
        <v>-1.25</v>
      </c>
      <c r="Q207" s="18" t="n">
        <v>-0.93</v>
      </c>
    </row>
    <row r="208" customFormat="false" ht="15" hidden="false" customHeight="false" outlineLevel="0" collapsed="false">
      <c r="A208" s="18" t="n">
        <v>52</v>
      </c>
      <c r="B208" s="18" t="s">
        <v>610</v>
      </c>
      <c r="C208" s="18" t="s">
        <v>500</v>
      </c>
      <c r="D208" s="18" t="s">
        <v>494</v>
      </c>
      <c r="E208" s="18" t="n">
        <v>0</v>
      </c>
      <c r="F208" s="18" t="n">
        <v>1</v>
      </c>
      <c r="G208" s="20" t="n">
        <v>0.0507</v>
      </c>
      <c r="H208" s="20" t="n">
        <v>0.012</v>
      </c>
      <c r="I208" s="28" t="n">
        <v>172.7</v>
      </c>
      <c r="J208" s="28" t="n">
        <v>528.2</v>
      </c>
      <c r="K208" s="28" t="n">
        <v>117.1</v>
      </c>
      <c r="L208" s="29" t="n">
        <v>2.376</v>
      </c>
      <c r="M208" s="19" t="n">
        <v>2.32</v>
      </c>
      <c r="N208" s="28" t="n">
        <v>8.77</v>
      </c>
      <c r="O208" s="18" t="n">
        <v>30</v>
      </c>
      <c r="P208" s="18" t="n">
        <v>-1.25</v>
      </c>
      <c r="Q208" s="18" t="n">
        <v>-0.93</v>
      </c>
    </row>
    <row r="209" customFormat="false" ht="15" hidden="false" customHeight="false" outlineLevel="0" collapsed="false">
      <c r="A209" s="18" t="n">
        <v>52</v>
      </c>
      <c r="B209" s="18" t="s">
        <v>610</v>
      </c>
      <c r="C209" s="18" t="s">
        <v>500</v>
      </c>
      <c r="D209" s="18" t="s">
        <v>495</v>
      </c>
      <c r="E209" s="18" t="n">
        <v>1</v>
      </c>
      <c r="F209" s="18" t="n">
        <v>1</v>
      </c>
      <c r="G209" s="20" t="n">
        <v>0.0293</v>
      </c>
      <c r="H209" s="20" t="n">
        <v>0.0065</v>
      </c>
      <c r="I209" s="28" t="n">
        <v>195.5</v>
      </c>
      <c r="J209" s="28" t="n">
        <v>631.3</v>
      </c>
      <c r="K209" s="28" t="n">
        <v>107.4</v>
      </c>
      <c r="L209" s="29" t="n">
        <v>2.837</v>
      </c>
      <c r="M209" s="19" t="n">
        <v>1.332</v>
      </c>
      <c r="N209" s="28" t="n">
        <v>8.03</v>
      </c>
      <c r="O209" s="18" t="n">
        <v>30</v>
      </c>
      <c r="P209" s="18" t="n">
        <v>-1.25</v>
      </c>
      <c r="Q209" s="18" t="n">
        <v>-0.93</v>
      </c>
    </row>
    <row r="210" customFormat="false" ht="15" hidden="false" customHeight="false" outlineLevel="0" collapsed="false">
      <c r="A210" s="18" t="n">
        <v>53</v>
      </c>
      <c r="B210" s="18" t="s">
        <v>611</v>
      </c>
      <c r="C210" s="18" t="s">
        <v>500</v>
      </c>
      <c r="D210" s="18" t="s">
        <v>491</v>
      </c>
      <c r="E210" s="18" t="n">
        <v>0</v>
      </c>
      <c r="F210" s="18" t="n">
        <v>0</v>
      </c>
      <c r="G210" s="20" t="n">
        <v>-0.0588</v>
      </c>
      <c r="H210" s="20" t="n">
        <v>0.0082</v>
      </c>
      <c r="I210" s="28" t="n">
        <v>178</v>
      </c>
      <c r="J210" s="28" t="n">
        <v>530.5</v>
      </c>
      <c r="K210" s="28" t="n">
        <v>140.5</v>
      </c>
      <c r="L210" s="18"/>
      <c r="M210" s="19" t="n">
        <v>0.995</v>
      </c>
      <c r="N210" s="28" t="n">
        <v>7.45</v>
      </c>
      <c r="O210" s="18" t="n">
        <v>31</v>
      </c>
      <c r="P210" s="18" t="n">
        <v>-1.25</v>
      </c>
      <c r="Q210" s="18" t="n">
        <v>-0.93</v>
      </c>
    </row>
    <row r="211" customFormat="false" ht="15" hidden="false" customHeight="false" outlineLevel="0" collapsed="false">
      <c r="A211" s="18" t="n">
        <v>53</v>
      </c>
      <c r="B211" s="18" t="s">
        <v>611</v>
      </c>
      <c r="C211" s="18" t="s">
        <v>500</v>
      </c>
      <c r="D211" s="18" t="s">
        <v>492</v>
      </c>
      <c r="E211" s="18" t="n">
        <v>1</v>
      </c>
      <c r="F211" s="18" t="n">
        <v>0</v>
      </c>
      <c r="G211" s="20" t="n">
        <v>-0.0577</v>
      </c>
      <c r="H211" s="20" t="n">
        <v>0.0083</v>
      </c>
      <c r="I211" s="28" t="n">
        <v>181.4</v>
      </c>
      <c r="J211" s="28" t="n">
        <v>631</v>
      </c>
      <c r="K211" s="28" t="n">
        <v>141.6</v>
      </c>
      <c r="L211" s="29" t="n">
        <v>0.308</v>
      </c>
      <c r="M211" s="19" t="n">
        <v>1.276</v>
      </c>
      <c r="N211" s="28" t="n">
        <v>6.61</v>
      </c>
      <c r="O211" s="18" t="n">
        <v>31</v>
      </c>
      <c r="P211" s="18" t="n">
        <v>-1.25</v>
      </c>
      <c r="Q211" s="18" t="n">
        <v>-0.93</v>
      </c>
    </row>
    <row r="212" customFormat="false" ht="15" hidden="false" customHeight="false" outlineLevel="0" collapsed="false">
      <c r="A212" s="18" t="n">
        <v>53</v>
      </c>
      <c r="B212" s="18" t="s">
        <v>612</v>
      </c>
      <c r="C212" s="18" t="s">
        <v>500</v>
      </c>
      <c r="D212" s="18" t="s">
        <v>494</v>
      </c>
      <c r="E212" s="18" t="n">
        <v>0</v>
      </c>
      <c r="F212" s="18" t="n">
        <v>1</v>
      </c>
      <c r="G212" s="20" t="n">
        <v>0.049</v>
      </c>
      <c r="H212" s="20" t="n">
        <v>0.0073</v>
      </c>
      <c r="I212" s="28" t="n">
        <v>184.1</v>
      </c>
      <c r="J212" s="28" t="n">
        <v>529.5</v>
      </c>
      <c r="K212" s="28" t="n">
        <v>102.5</v>
      </c>
      <c r="L212" s="29" t="n">
        <v>2.437</v>
      </c>
      <c r="M212" s="19" t="n">
        <v>1.33</v>
      </c>
      <c r="N212" s="28" t="n">
        <v>8.81</v>
      </c>
      <c r="O212" s="18" t="n">
        <v>31</v>
      </c>
      <c r="P212" s="18" t="n">
        <v>-1.25</v>
      </c>
      <c r="Q212" s="18" t="n">
        <v>-0.93</v>
      </c>
    </row>
    <row r="213" customFormat="false" ht="15" hidden="false" customHeight="false" outlineLevel="0" collapsed="false">
      <c r="A213" s="18" t="n">
        <v>53</v>
      </c>
      <c r="B213" s="18" t="s">
        <v>612</v>
      </c>
      <c r="C213" s="18" t="s">
        <v>500</v>
      </c>
      <c r="D213" s="18" t="s">
        <v>495</v>
      </c>
      <c r="E213" s="18" t="n">
        <v>1</v>
      </c>
      <c r="F213" s="18" t="n">
        <v>1</v>
      </c>
      <c r="G213" s="20" t="n">
        <v>0.0316</v>
      </c>
      <c r="H213" s="20" t="n">
        <v>0.0105</v>
      </c>
      <c r="I213" s="28" t="n">
        <v>189.3</v>
      </c>
      <c r="J213" s="28" t="n">
        <v>636.6</v>
      </c>
      <c r="K213" s="28" t="n">
        <v>103.7</v>
      </c>
      <c r="L213" s="29" t="n">
        <v>2.534</v>
      </c>
      <c r="M213" s="19" t="n">
        <v>0.736</v>
      </c>
      <c r="N213" s="28" t="n">
        <v>8.44</v>
      </c>
      <c r="O213" s="18" t="n">
        <v>31</v>
      </c>
      <c r="P213" s="18" t="n">
        <v>-1.25</v>
      </c>
      <c r="Q213" s="18" t="n">
        <v>-0.93</v>
      </c>
    </row>
    <row r="214" customFormat="false" ht="15" hidden="false" customHeight="false" outlineLevel="0" collapsed="false">
      <c r="A214" s="18" t="n">
        <v>54</v>
      </c>
      <c r="B214" s="18" t="s">
        <v>613</v>
      </c>
      <c r="C214" s="18" t="s">
        <v>522</v>
      </c>
      <c r="D214" s="18" t="s">
        <v>491</v>
      </c>
      <c r="E214" s="18" t="n">
        <v>0</v>
      </c>
      <c r="F214" s="18" t="n">
        <v>0</v>
      </c>
      <c r="G214" s="20" t="n">
        <v>-0.0492</v>
      </c>
      <c r="H214" s="20" t="n">
        <v>0.0064</v>
      </c>
      <c r="I214" s="28" t="n">
        <v>201.4</v>
      </c>
      <c r="J214" s="28" t="n">
        <v>522.8</v>
      </c>
      <c r="K214" s="28" t="n">
        <v>168.9</v>
      </c>
      <c r="L214" s="29" t="n">
        <v>2.615</v>
      </c>
      <c r="M214" s="19" t="n">
        <v>0.81</v>
      </c>
      <c r="N214" s="28" t="n">
        <v>6.41</v>
      </c>
      <c r="O214" s="18" t="n">
        <v>37</v>
      </c>
      <c r="P214" s="18" t="n">
        <v>-1.25</v>
      </c>
      <c r="Q214" s="18" t="n">
        <v>-0.93</v>
      </c>
    </row>
    <row r="215" customFormat="false" ht="15" hidden="false" customHeight="false" outlineLevel="0" collapsed="false">
      <c r="A215" s="18" t="n">
        <v>54</v>
      </c>
      <c r="B215" s="18" t="s">
        <v>613</v>
      </c>
      <c r="C215" s="18" t="s">
        <v>522</v>
      </c>
      <c r="D215" s="18" t="s">
        <v>492</v>
      </c>
      <c r="E215" s="18" t="n">
        <v>1</v>
      </c>
      <c r="F215" s="18" t="n">
        <v>0</v>
      </c>
      <c r="G215" s="20" t="n">
        <v>-0.0472</v>
      </c>
      <c r="H215" s="20" t="n">
        <v>0.0096</v>
      </c>
      <c r="I215" s="28" t="n">
        <v>184.9</v>
      </c>
      <c r="J215" s="28" t="n">
        <v>630.9</v>
      </c>
      <c r="K215" s="28" t="n">
        <v>159.8</v>
      </c>
      <c r="L215" s="18"/>
      <c r="M215" s="19" t="n">
        <v>0.778</v>
      </c>
      <c r="N215" s="28" t="n">
        <v>8.64</v>
      </c>
      <c r="O215" s="18" t="n">
        <v>37</v>
      </c>
      <c r="P215" s="18" t="n">
        <v>-1.25</v>
      </c>
      <c r="Q215" s="18" t="n">
        <v>-0.93</v>
      </c>
    </row>
    <row r="216" customFormat="false" ht="15" hidden="false" customHeight="false" outlineLevel="0" collapsed="false">
      <c r="A216" s="18" t="n">
        <v>54</v>
      </c>
      <c r="B216" s="18" t="s">
        <v>614</v>
      </c>
      <c r="C216" s="18" t="s">
        <v>522</v>
      </c>
      <c r="D216" s="18" t="s">
        <v>494</v>
      </c>
      <c r="E216" s="18" t="n">
        <v>0</v>
      </c>
      <c r="F216" s="18" t="n">
        <v>1</v>
      </c>
      <c r="G216" s="20" t="n">
        <v>0.0409</v>
      </c>
      <c r="H216" s="20" t="n">
        <v>0.0065</v>
      </c>
      <c r="I216" s="28" t="n">
        <v>199.8</v>
      </c>
      <c r="J216" s="28" t="n">
        <v>525</v>
      </c>
      <c r="K216" s="28" t="n">
        <v>209.6</v>
      </c>
      <c r="L216" s="29" t="n">
        <v>1.477</v>
      </c>
      <c r="M216" s="19" t="n">
        <v>0.653</v>
      </c>
      <c r="N216" s="28" t="n">
        <v>8.72</v>
      </c>
      <c r="O216" s="18" t="n">
        <v>37</v>
      </c>
      <c r="P216" s="18" t="n">
        <v>-1.25</v>
      </c>
      <c r="Q216" s="18" t="n">
        <v>-0.93</v>
      </c>
    </row>
    <row r="217" customFormat="false" ht="15" hidden="false" customHeight="false" outlineLevel="0" collapsed="false">
      <c r="A217" s="18" t="n">
        <v>54</v>
      </c>
      <c r="B217" s="18" t="s">
        <v>614</v>
      </c>
      <c r="C217" s="18" t="s">
        <v>522</v>
      </c>
      <c r="D217" s="18" t="s">
        <v>495</v>
      </c>
      <c r="E217" s="18" t="n">
        <v>1</v>
      </c>
      <c r="F217" s="18" t="n">
        <v>1</v>
      </c>
      <c r="G217" s="20" t="n">
        <v>0.0444</v>
      </c>
      <c r="H217" s="20" t="n">
        <v>0.0088</v>
      </c>
      <c r="I217" s="28" t="n">
        <v>191.3</v>
      </c>
      <c r="J217" s="28" t="n">
        <v>631.9</v>
      </c>
      <c r="K217" s="28" t="n">
        <v>203.8</v>
      </c>
      <c r="L217" s="18"/>
      <c r="M217" s="19" t="n">
        <v>1.484</v>
      </c>
      <c r="N217" s="28" t="n">
        <v>8.41</v>
      </c>
      <c r="O217" s="18" t="n">
        <v>37</v>
      </c>
      <c r="P217" s="18" t="n">
        <v>-1.25</v>
      </c>
      <c r="Q217" s="18" t="n">
        <v>-0.93</v>
      </c>
    </row>
    <row r="218" customFormat="false" ht="15" hidden="false" customHeight="false" outlineLevel="0" collapsed="false">
      <c r="A218" s="18" t="n">
        <v>55</v>
      </c>
      <c r="B218" s="18" t="s">
        <v>615</v>
      </c>
      <c r="C218" s="18" t="s">
        <v>500</v>
      </c>
      <c r="D218" s="18" t="s">
        <v>491</v>
      </c>
      <c r="E218" s="18" t="n">
        <v>0</v>
      </c>
      <c r="F218" s="18" t="n">
        <v>0</v>
      </c>
      <c r="G218" s="20" t="n">
        <v>-0.0541</v>
      </c>
      <c r="H218" s="20" t="n">
        <v>0.0064</v>
      </c>
      <c r="I218" s="28" t="n">
        <v>183.4</v>
      </c>
      <c r="J218" s="28" t="n">
        <v>528.3</v>
      </c>
      <c r="K218" s="28" t="n">
        <v>134.1</v>
      </c>
      <c r="L218" s="29" t="n">
        <v>0.563</v>
      </c>
      <c r="M218" s="19" t="n">
        <v>1.2</v>
      </c>
      <c r="N218" s="28" t="n">
        <v>7.92</v>
      </c>
      <c r="O218" s="18" t="n">
        <v>34</v>
      </c>
      <c r="P218" s="18" t="n">
        <v>-1.25</v>
      </c>
      <c r="Q218" s="18" t="n">
        <v>-0.93</v>
      </c>
    </row>
    <row r="219" customFormat="false" ht="15" hidden="false" customHeight="false" outlineLevel="0" collapsed="false">
      <c r="A219" s="18" t="n">
        <v>55</v>
      </c>
      <c r="B219" s="18" t="s">
        <v>615</v>
      </c>
      <c r="C219" s="18" t="s">
        <v>500</v>
      </c>
      <c r="D219" s="18" t="s">
        <v>492</v>
      </c>
      <c r="E219" s="18" t="n">
        <v>1</v>
      </c>
      <c r="F219" s="18" t="n">
        <v>0</v>
      </c>
      <c r="G219" s="20" t="n">
        <v>-0.0391</v>
      </c>
      <c r="H219" s="20" t="n">
        <v>0.0051</v>
      </c>
      <c r="I219" s="28" t="n">
        <v>187</v>
      </c>
      <c r="J219" s="28" t="n">
        <v>633.2</v>
      </c>
      <c r="K219" s="28" t="n">
        <v>136.1</v>
      </c>
      <c r="L219" s="29" t="n">
        <v>2.956</v>
      </c>
      <c r="M219" s="19" t="n">
        <v>1.159</v>
      </c>
      <c r="N219" s="28" t="n">
        <v>7.94</v>
      </c>
      <c r="O219" s="18" t="n">
        <v>34</v>
      </c>
      <c r="P219" s="18" t="n">
        <v>-1.25</v>
      </c>
      <c r="Q219" s="18" t="n">
        <v>-0.93</v>
      </c>
    </row>
    <row r="220" customFormat="false" ht="15" hidden="false" customHeight="false" outlineLevel="0" collapsed="false">
      <c r="A220" s="18" t="n">
        <v>55</v>
      </c>
      <c r="B220" s="18" t="s">
        <v>616</v>
      </c>
      <c r="C220" s="18" t="s">
        <v>500</v>
      </c>
      <c r="D220" s="18" t="s">
        <v>494</v>
      </c>
      <c r="E220" s="18" t="n">
        <v>0</v>
      </c>
      <c r="F220" s="18" t="n">
        <v>1</v>
      </c>
      <c r="G220" s="20" t="n">
        <v>0.0472</v>
      </c>
      <c r="H220" s="20" t="n">
        <v>0.005</v>
      </c>
      <c r="I220" s="28" t="n">
        <v>185.5</v>
      </c>
      <c r="J220" s="28" t="n">
        <v>530.6</v>
      </c>
      <c r="K220" s="28" t="n">
        <v>100.4</v>
      </c>
      <c r="L220" s="29" t="n">
        <v>1.906</v>
      </c>
      <c r="M220" s="19" t="n">
        <v>1.408</v>
      </c>
      <c r="N220" s="28" t="n">
        <v>7.21</v>
      </c>
      <c r="O220" s="18" t="n">
        <v>29</v>
      </c>
      <c r="P220" s="18" t="n">
        <v>-1.25</v>
      </c>
      <c r="Q220" s="18" t="n">
        <v>-0.93</v>
      </c>
    </row>
    <row r="221" customFormat="false" ht="15" hidden="false" customHeight="false" outlineLevel="0" collapsed="false">
      <c r="A221" s="18" t="n">
        <v>55</v>
      </c>
      <c r="B221" s="18" t="s">
        <v>616</v>
      </c>
      <c r="C221" s="18" t="s">
        <v>500</v>
      </c>
      <c r="D221" s="18" t="s">
        <v>495</v>
      </c>
      <c r="E221" s="18" t="n">
        <v>1</v>
      </c>
      <c r="F221" s="18" t="n">
        <v>1</v>
      </c>
      <c r="G221" s="20" t="n">
        <v>0.0449</v>
      </c>
      <c r="H221" s="20" t="n">
        <v>0.0067</v>
      </c>
      <c r="I221" s="28" t="n">
        <v>189</v>
      </c>
      <c r="J221" s="28" t="n">
        <v>637</v>
      </c>
      <c r="K221" s="28" t="n">
        <v>104.7</v>
      </c>
      <c r="L221" s="29" t="n">
        <v>3.903</v>
      </c>
      <c r="M221" s="19" t="n">
        <v>0.916</v>
      </c>
      <c r="N221" s="28" t="n">
        <v>9.02</v>
      </c>
      <c r="O221" s="18" t="n">
        <v>29</v>
      </c>
      <c r="P221" s="18" t="n">
        <v>-1.25</v>
      </c>
      <c r="Q221" s="18" t="n">
        <v>-0.93</v>
      </c>
    </row>
    <row r="222" customFormat="false" ht="15" hidden="false" customHeight="false" outlineLevel="0" collapsed="false">
      <c r="A222" s="18" t="n">
        <v>56</v>
      </c>
      <c r="B222" s="18" t="s">
        <v>617</v>
      </c>
      <c r="C222" s="18" t="s">
        <v>577</v>
      </c>
      <c r="D222" s="18" t="s">
        <v>491</v>
      </c>
      <c r="E222" s="18" t="n">
        <v>0</v>
      </c>
      <c r="F222" s="18" t="n">
        <v>0</v>
      </c>
      <c r="G222" s="20" t="n">
        <v>-0.0765</v>
      </c>
      <c r="H222" s="20" t="n">
        <v>0.0135</v>
      </c>
      <c r="I222" s="28" t="n">
        <v>192.6</v>
      </c>
      <c r="J222" s="28" t="n">
        <v>876.6</v>
      </c>
      <c r="K222" s="28" t="n">
        <v>116.4</v>
      </c>
      <c r="L222" s="29" t="n">
        <v>1.59</v>
      </c>
      <c r="M222" s="19" t="n">
        <v>1.341</v>
      </c>
      <c r="N222" s="28" t="n">
        <v>8.93</v>
      </c>
      <c r="O222" s="18" t="n">
        <v>29</v>
      </c>
      <c r="P222" s="18" t="n">
        <v>-1.5</v>
      </c>
      <c r="Q222" s="18" t="n">
        <v>-0.93</v>
      </c>
    </row>
    <row r="223" customFormat="false" ht="15" hidden="false" customHeight="false" outlineLevel="0" collapsed="false">
      <c r="A223" s="18" t="n">
        <v>56</v>
      </c>
      <c r="B223" s="18" t="s">
        <v>617</v>
      </c>
      <c r="C223" s="18" t="s">
        <v>577</v>
      </c>
      <c r="D223" s="18" t="s">
        <v>492</v>
      </c>
      <c r="E223" s="18" t="n">
        <v>1</v>
      </c>
      <c r="F223" s="18" t="n">
        <v>0</v>
      </c>
      <c r="G223" s="20" t="n">
        <v>-0.0606</v>
      </c>
      <c r="H223" s="20" t="n">
        <v>0.011</v>
      </c>
      <c r="I223" s="28" t="n">
        <v>179.9</v>
      </c>
      <c r="J223" s="28" t="n">
        <v>989.8</v>
      </c>
      <c r="K223" s="28" t="n">
        <v>121.2</v>
      </c>
      <c r="L223" s="29" t="n">
        <v>5.153</v>
      </c>
      <c r="M223" s="19" t="n">
        <v>1.608</v>
      </c>
      <c r="N223" s="28" t="n">
        <v>9.13</v>
      </c>
      <c r="O223" s="18" t="n">
        <v>29</v>
      </c>
      <c r="P223" s="18" t="n">
        <v>-1.5</v>
      </c>
      <c r="Q223" s="18" t="n">
        <v>-0.93</v>
      </c>
    </row>
    <row r="224" customFormat="false" ht="15" hidden="false" customHeight="false" outlineLevel="0" collapsed="false">
      <c r="A224" s="18" t="n">
        <v>56</v>
      </c>
      <c r="B224" s="18" t="s">
        <v>618</v>
      </c>
      <c r="C224" s="18" t="s">
        <v>577</v>
      </c>
      <c r="D224" s="18" t="s">
        <v>494</v>
      </c>
      <c r="E224" s="18" t="n">
        <v>0</v>
      </c>
      <c r="F224" s="18" t="n">
        <v>1</v>
      </c>
      <c r="G224" s="20" t="n">
        <v>0.0925</v>
      </c>
      <c r="H224" s="20" t="n">
        <v>0.0075</v>
      </c>
      <c r="I224" s="28" t="n">
        <v>223.1</v>
      </c>
      <c r="J224" s="28" t="n">
        <v>871.7</v>
      </c>
      <c r="K224" s="28" t="n">
        <v>131</v>
      </c>
      <c r="L224" s="29" t="n">
        <v>0.884</v>
      </c>
      <c r="M224" s="19" t="n">
        <v>1.112</v>
      </c>
      <c r="N224" s="28" t="n">
        <v>8.81</v>
      </c>
      <c r="O224" s="18" t="n">
        <v>32</v>
      </c>
      <c r="P224" s="18" t="n">
        <v>-1.5</v>
      </c>
      <c r="Q224" s="18" t="n">
        <v>-0.93</v>
      </c>
    </row>
    <row r="225" customFormat="false" ht="15" hidden="false" customHeight="false" outlineLevel="0" collapsed="false">
      <c r="A225" s="18" t="n">
        <v>56</v>
      </c>
      <c r="B225" s="18" t="s">
        <v>618</v>
      </c>
      <c r="C225" s="18" t="s">
        <v>577</v>
      </c>
      <c r="D225" s="18" t="s">
        <v>495</v>
      </c>
      <c r="E225" s="18" t="n">
        <v>1</v>
      </c>
      <c r="F225" s="18" t="n">
        <v>1</v>
      </c>
      <c r="G225" s="20" t="n">
        <v>0.06</v>
      </c>
      <c r="H225" s="20" t="n">
        <v>0.0051</v>
      </c>
      <c r="I225" s="28" t="n">
        <v>219.7</v>
      </c>
      <c r="J225" s="28" t="n">
        <v>983.1</v>
      </c>
      <c r="K225" s="28" t="n">
        <v>138.9</v>
      </c>
      <c r="L225" s="29" t="n">
        <v>4.933</v>
      </c>
      <c r="M225" s="19" t="n">
        <v>1.029</v>
      </c>
      <c r="N225" s="28" t="n">
        <v>8.53</v>
      </c>
      <c r="O225" s="18" t="n">
        <v>32</v>
      </c>
      <c r="P225" s="18" t="n">
        <v>-1.5</v>
      </c>
      <c r="Q225" s="18" t="n">
        <v>-0.93</v>
      </c>
    </row>
    <row r="226" customFormat="false" ht="15" hidden="false" customHeight="false" outlineLevel="0" collapsed="false">
      <c r="A226" s="18" t="n">
        <v>57</v>
      </c>
      <c r="B226" s="18" t="s">
        <v>619</v>
      </c>
      <c r="C226" s="18" t="s">
        <v>522</v>
      </c>
      <c r="D226" s="18" t="s">
        <v>491</v>
      </c>
      <c r="E226" s="18" t="n">
        <v>0</v>
      </c>
      <c r="F226" s="18" t="n">
        <v>0</v>
      </c>
      <c r="G226" s="20" t="n">
        <v>-0.0351</v>
      </c>
      <c r="H226" s="20" t="n">
        <v>0.0059</v>
      </c>
      <c r="I226" s="28" t="n">
        <v>184.8</v>
      </c>
      <c r="J226" s="28" t="n">
        <v>526.4</v>
      </c>
      <c r="K226" s="28" t="n">
        <v>165.6</v>
      </c>
      <c r="L226" s="29" t="n">
        <v>2.3</v>
      </c>
      <c r="M226" s="19" t="n">
        <v>1.473</v>
      </c>
      <c r="N226" s="28" t="n">
        <v>7.8</v>
      </c>
      <c r="O226" s="18" t="n">
        <v>38</v>
      </c>
      <c r="P226" s="18" t="n">
        <v>-1.25</v>
      </c>
      <c r="Q226" s="18" t="n">
        <v>-0.93</v>
      </c>
    </row>
    <row r="227" customFormat="false" ht="15" hidden="false" customHeight="false" outlineLevel="0" collapsed="false">
      <c r="A227" s="18" t="n">
        <v>57</v>
      </c>
      <c r="B227" s="18" t="s">
        <v>619</v>
      </c>
      <c r="C227" s="18" t="s">
        <v>522</v>
      </c>
      <c r="D227" s="18" t="s">
        <v>492</v>
      </c>
      <c r="E227" s="18" t="n">
        <v>1</v>
      </c>
      <c r="F227" s="18" t="n">
        <v>0</v>
      </c>
      <c r="G227" s="20" t="n">
        <v>-0.0386</v>
      </c>
      <c r="H227" s="20" t="n">
        <v>0.0058</v>
      </c>
      <c r="I227" s="28" t="n">
        <v>198.9</v>
      </c>
      <c r="J227" s="28" t="n">
        <v>631.4</v>
      </c>
      <c r="K227" s="28" t="n">
        <v>166</v>
      </c>
      <c r="L227" s="29" t="n">
        <v>2.249</v>
      </c>
      <c r="M227" s="19" t="n">
        <v>0.777</v>
      </c>
      <c r="N227" s="28" t="n">
        <v>7.26</v>
      </c>
      <c r="O227" s="18" t="n">
        <v>38</v>
      </c>
      <c r="P227" s="18" t="n">
        <v>-1.25</v>
      </c>
      <c r="Q227" s="18" t="n">
        <v>-0.93</v>
      </c>
    </row>
    <row r="228" customFormat="false" ht="15" hidden="false" customHeight="false" outlineLevel="0" collapsed="false">
      <c r="A228" s="18" t="n">
        <v>57</v>
      </c>
      <c r="B228" s="18" t="s">
        <v>620</v>
      </c>
      <c r="C228" s="18" t="s">
        <v>522</v>
      </c>
      <c r="D228" s="18" t="s">
        <v>494</v>
      </c>
      <c r="E228" s="18" t="n">
        <v>0</v>
      </c>
      <c r="F228" s="18" t="n">
        <v>1</v>
      </c>
      <c r="G228" s="20" t="n">
        <v>0.054</v>
      </c>
      <c r="H228" s="20" t="n">
        <v>0.0063</v>
      </c>
      <c r="I228" s="28" t="n">
        <v>176.6</v>
      </c>
      <c r="J228" s="28" t="n">
        <v>526.5</v>
      </c>
      <c r="K228" s="28" t="n">
        <v>149.1</v>
      </c>
      <c r="L228" s="29" t="n">
        <v>2.646</v>
      </c>
      <c r="M228" s="19" t="n">
        <v>0.768</v>
      </c>
      <c r="N228" s="28" t="n">
        <v>8.32</v>
      </c>
      <c r="O228" s="18" t="n">
        <v>35</v>
      </c>
      <c r="P228" s="18" t="n">
        <v>-1.25</v>
      </c>
      <c r="Q228" s="18" t="n">
        <v>-0.93</v>
      </c>
    </row>
    <row r="229" customFormat="false" ht="15" hidden="false" customHeight="false" outlineLevel="0" collapsed="false">
      <c r="A229" s="18" t="n">
        <v>57</v>
      </c>
      <c r="B229" s="18" t="s">
        <v>620</v>
      </c>
      <c r="C229" s="18" t="s">
        <v>522</v>
      </c>
      <c r="D229" s="18" t="s">
        <v>495</v>
      </c>
      <c r="E229" s="18" t="n">
        <v>1</v>
      </c>
      <c r="F229" s="18" t="n">
        <v>1</v>
      </c>
      <c r="G229" s="20" t="n">
        <v>0.0558</v>
      </c>
      <c r="H229" s="20" t="n">
        <v>0.0064</v>
      </c>
      <c r="I229" s="28" t="n">
        <v>196.1</v>
      </c>
      <c r="J229" s="28" t="n">
        <v>632.6</v>
      </c>
      <c r="K229" s="28" t="n">
        <v>149.4</v>
      </c>
      <c r="L229" s="29" t="n">
        <v>4.221</v>
      </c>
      <c r="M229" s="19" t="n">
        <v>0.985</v>
      </c>
      <c r="N229" s="28" t="n">
        <v>10.11</v>
      </c>
      <c r="O229" s="18" t="n">
        <v>35</v>
      </c>
      <c r="P229" s="18" t="n">
        <v>-1.25</v>
      </c>
      <c r="Q229" s="18" t="n">
        <v>-0.93</v>
      </c>
    </row>
    <row r="230" customFormat="false" ht="15" hidden="false" customHeight="false" outlineLevel="0" collapsed="false">
      <c r="A230" s="18" t="n">
        <v>58</v>
      </c>
      <c r="B230" s="18" t="s">
        <v>621</v>
      </c>
      <c r="C230" s="18" t="s">
        <v>522</v>
      </c>
      <c r="D230" s="18" t="s">
        <v>491</v>
      </c>
      <c r="E230" s="18" t="n">
        <v>0</v>
      </c>
      <c r="F230" s="18" t="n">
        <v>0</v>
      </c>
      <c r="G230" s="20" t="n">
        <v>-0.0424</v>
      </c>
      <c r="H230" s="20" t="n">
        <v>0.0146</v>
      </c>
      <c r="I230" s="28" t="n">
        <v>195.9</v>
      </c>
      <c r="J230" s="28" t="n">
        <v>527.6</v>
      </c>
      <c r="K230" s="28" t="n">
        <v>145</v>
      </c>
      <c r="L230" s="18"/>
      <c r="M230" s="19" t="n">
        <v>1.652</v>
      </c>
      <c r="N230" s="28" t="n">
        <v>10.64</v>
      </c>
      <c r="O230" s="18" t="n">
        <v>36</v>
      </c>
      <c r="P230" s="18" t="n">
        <v>-1.25</v>
      </c>
      <c r="Q230" s="18" t="n">
        <v>-0.93</v>
      </c>
    </row>
    <row r="231" customFormat="false" ht="15" hidden="false" customHeight="false" outlineLevel="0" collapsed="false">
      <c r="A231" s="18" t="n">
        <v>58</v>
      </c>
      <c r="B231" s="18" t="s">
        <v>621</v>
      </c>
      <c r="C231" s="18" t="s">
        <v>522</v>
      </c>
      <c r="D231" s="18" t="s">
        <v>492</v>
      </c>
      <c r="E231" s="18" t="n">
        <v>1</v>
      </c>
      <c r="F231" s="18" t="n">
        <v>0</v>
      </c>
      <c r="G231" s="20" t="n">
        <v>-0.0463</v>
      </c>
      <c r="H231" s="20" t="n">
        <v>0.0139</v>
      </c>
      <c r="I231" s="28" t="n">
        <v>185.5</v>
      </c>
      <c r="J231" s="28" t="n">
        <v>635.1</v>
      </c>
      <c r="K231" s="28" t="n">
        <v>142.5</v>
      </c>
      <c r="L231" s="29" t="n">
        <v>2.112</v>
      </c>
      <c r="M231" s="19" t="n">
        <v>1.167</v>
      </c>
      <c r="N231" s="28" t="n">
        <v>10.53</v>
      </c>
      <c r="O231" s="18" t="n">
        <v>36</v>
      </c>
      <c r="P231" s="18" t="n">
        <v>-1.25</v>
      </c>
      <c r="Q231" s="18" t="n">
        <v>-0.93</v>
      </c>
    </row>
    <row r="232" customFormat="false" ht="15" hidden="false" customHeight="false" outlineLevel="0" collapsed="false">
      <c r="A232" s="18" t="n">
        <v>58</v>
      </c>
      <c r="B232" s="18" t="s">
        <v>622</v>
      </c>
      <c r="C232" s="18" t="s">
        <v>522</v>
      </c>
      <c r="D232" s="18" t="s">
        <v>494</v>
      </c>
      <c r="E232" s="18" t="n">
        <v>0</v>
      </c>
      <c r="F232" s="18" t="n">
        <v>1</v>
      </c>
      <c r="G232" s="20" t="n">
        <v>0.0537</v>
      </c>
      <c r="H232" s="20" t="n">
        <v>0.0081</v>
      </c>
      <c r="I232" s="28" t="n">
        <v>178.2</v>
      </c>
      <c r="J232" s="28" t="n">
        <v>526.4</v>
      </c>
      <c r="K232" s="28" t="n">
        <v>159.9</v>
      </c>
      <c r="L232" s="29" t="n">
        <v>2.063</v>
      </c>
      <c r="M232" s="19" t="n">
        <v>1.329</v>
      </c>
      <c r="N232" s="28" t="n">
        <v>7.07</v>
      </c>
      <c r="O232" s="18" t="n">
        <v>37</v>
      </c>
      <c r="P232" s="18" t="n">
        <v>-1.25</v>
      </c>
      <c r="Q232" s="18" t="n">
        <v>-0.93</v>
      </c>
    </row>
    <row r="233" customFormat="false" ht="15" hidden="false" customHeight="false" outlineLevel="0" collapsed="false">
      <c r="A233" s="18" t="n">
        <v>58</v>
      </c>
      <c r="B233" s="18" t="s">
        <v>622</v>
      </c>
      <c r="C233" s="18" t="s">
        <v>522</v>
      </c>
      <c r="D233" s="18" t="s">
        <v>495</v>
      </c>
      <c r="E233" s="18" t="n">
        <v>1</v>
      </c>
      <c r="F233" s="18" t="n">
        <v>1</v>
      </c>
      <c r="G233" s="20" t="n">
        <v>0.0166</v>
      </c>
      <c r="H233" s="20" t="n">
        <v>0.0108</v>
      </c>
      <c r="I233" s="28" t="n">
        <v>196.4</v>
      </c>
      <c r="J233" s="28" t="n">
        <v>632.8</v>
      </c>
      <c r="K233" s="28" t="n">
        <v>166.2</v>
      </c>
      <c r="L233" s="29" t="n">
        <v>0.362</v>
      </c>
      <c r="M233" s="19" t="n">
        <v>0.787</v>
      </c>
      <c r="N233" s="28" t="n">
        <v>10.04</v>
      </c>
      <c r="O233" s="18" t="n">
        <v>37</v>
      </c>
      <c r="P233" s="18" t="n">
        <v>-1.25</v>
      </c>
      <c r="Q233" s="18" t="n">
        <v>-0.93</v>
      </c>
    </row>
    <row r="234" customFormat="false" ht="15" hidden="false" customHeight="false" outlineLevel="0" collapsed="false">
      <c r="A234" s="18" t="n">
        <v>59</v>
      </c>
      <c r="B234" s="18" t="s">
        <v>623</v>
      </c>
      <c r="C234" s="18" t="s">
        <v>500</v>
      </c>
      <c r="D234" s="18" t="s">
        <v>491</v>
      </c>
      <c r="E234" s="18" t="n">
        <v>0</v>
      </c>
      <c r="F234" s="18" t="n">
        <v>0</v>
      </c>
      <c r="G234" s="20" t="n">
        <v>-0.0409</v>
      </c>
      <c r="H234" s="20" t="n">
        <v>0.0081</v>
      </c>
      <c r="I234" s="28" t="n">
        <v>176.6</v>
      </c>
      <c r="J234" s="28" t="n">
        <v>528.2</v>
      </c>
      <c r="K234" s="28" t="n">
        <v>102.5</v>
      </c>
      <c r="L234" s="18"/>
      <c r="M234" s="19" t="n">
        <v>0.682</v>
      </c>
      <c r="N234" s="28" t="n">
        <v>7.39</v>
      </c>
      <c r="O234" s="18" t="n">
        <v>30</v>
      </c>
      <c r="P234" s="18" t="n">
        <v>-1.25</v>
      </c>
      <c r="Q234" s="18" t="n">
        <v>-0.93</v>
      </c>
    </row>
    <row r="235" customFormat="false" ht="15" hidden="false" customHeight="false" outlineLevel="0" collapsed="false">
      <c r="A235" s="18" t="n">
        <v>59</v>
      </c>
      <c r="B235" s="18" t="s">
        <v>623</v>
      </c>
      <c r="C235" s="18" t="s">
        <v>500</v>
      </c>
      <c r="D235" s="18" t="s">
        <v>492</v>
      </c>
      <c r="E235" s="18" t="n">
        <v>1</v>
      </c>
      <c r="F235" s="18" t="n">
        <v>0</v>
      </c>
      <c r="G235" s="20" t="n">
        <v>-0.0544</v>
      </c>
      <c r="H235" s="20" t="n">
        <v>0.008</v>
      </c>
      <c r="I235" s="28" t="n">
        <v>191.4</v>
      </c>
      <c r="J235" s="28" t="n">
        <v>630.5</v>
      </c>
      <c r="K235" s="28" t="n">
        <v>101.5</v>
      </c>
      <c r="L235" s="18"/>
      <c r="M235" s="19" t="n">
        <v>0.947</v>
      </c>
      <c r="N235" s="28" t="n">
        <v>10.7</v>
      </c>
      <c r="O235" s="18" t="n">
        <v>30</v>
      </c>
      <c r="P235" s="18" t="n">
        <v>-1.25</v>
      </c>
      <c r="Q235" s="18" t="n">
        <v>-0.93</v>
      </c>
    </row>
    <row r="236" customFormat="false" ht="15" hidden="false" customHeight="false" outlineLevel="0" collapsed="false">
      <c r="A236" s="18" t="n">
        <v>59</v>
      </c>
      <c r="B236" s="18" t="s">
        <v>624</v>
      </c>
      <c r="C236" s="18" t="s">
        <v>500</v>
      </c>
      <c r="D236" s="18" t="s">
        <v>494</v>
      </c>
      <c r="E236" s="18" t="n">
        <v>0</v>
      </c>
      <c r="F236" s="18" t="n">
        <v>1</v>
      </c>
      <c r="G236" s="20" t="n">
        <v>0.041</v>
      </c>
      <c r="H236" s="20" t="n">
        <v>0.0056</v>
      </c>
      <c r="I236" s="28" t="n">
        <v>182.1</v>
      </c>
      <c r="J236" s="28" t="n">
        <v>530.3</v>
      </c>
      <c r="K236" s="28" t="n">
        <v>99.3</v>
      </c>
      <c r="L236" s="18"/>
      <c r="M236" s="19" t="n">
        <v>1.773</v>
      </c>
      <c r="N236" s="28" t="n">
        <v>6.89</v>
      </c>
      <c r="O236" s="18" t="n">
        <v>29</v>
      </c>
      <c r="P236" s="18" t="n">
        <v>-1.25</v>
      </c>
      <c r="Q236" s="18" t="n">
        <v>-0.93</v>
      </c>
    </row>
    <row r="237" customFormat="false" ht="15" hidden="false" customHeight="false" outlineLevel="0" collapsed="false">
      <c r="A237" s="18" t="n">
        <v>59</v>
      </c>
      <c r="B237" s="18" t="s">
        <v>624</v>
      </c>
      <c r="C237" s="18" t="s">
        <v>500</v>
      </c>
      <c r="D237" s="18" t="s">
        <v>495</v>
      </c>
      <c r="E237" s="18" t="n">
        <v>1</v>
      </c>
      <c r="F237" s="18" t="n">
        <v>1</v>
      </c>
      <c r="G237" s="20" t="n">
        <v>0.0304</v>
      </c>
      <c r="H237" s="20" t="n">
        <v>0.0069</v>
      </c>
      <c r="I237" s="28" t="n">
        <v>186.1</v>
      </c>
      <c r="J237" s="28" t="n">
        <v>635.9</v>
      </c>
      <c r="K237" s="28" t="n">
        <v>115.1</v>
      </c>
      <c r="L237" s="29" t="n">
        <v>3.601</v>
      </c>
      <c r="M237" s="19" t="n">
        <v>1.03</v>
      </c>
      <c r="N237" s="28" t="n">
        <v>8.8</v>
      </c>
      <c r="O237" s="18" t="n">
        <v>29</v>
      </c>
      <c r="P237" s="18" t="n">
        <v>-1.25</v>
      </c>
      <c r="Q237" s="18" t="n">
        <v>-0.93</v>
      </c>
    </row>
    <row r="238" customFormat="false" ht="15" hidden="false" customHeight="false" outlineLevel="0" collapsed="false">
      <c r="A238" s="18" t="n">
        <v>60</v>
      </c>
      <c r="B238" s="18" t="s">
        <v>625</v>
      </c>
      <c r="C238" s="18" t="s">
        <v>577</v>
      </c>
      <c r="D238" s="18" t="s">
        <v>491</v>
      </c>
      <c r="E238" s="18" t="n">
        <v>0</v>
      </c>
      <c r="F238" s="18" t="n">
        <v>0</v>
      </c>
      <c r="G238" s="20" t="n">
        <v>-0.0622</v>
      </c>
      <c r="H238" s="20" t="n">
        <v>0.0075</v>
      </c>
      <c r="I238" s="28" t="n">
        <v>212</v>
      </c>
      <c r="J238" s="28" t="n">
        <v>875</v>
      </c>
      <c r="K238" s="28" t="n">
        <v>117.4</v>
      </c>
      <c r="L238" s="29" t="n">
        <v>2.34</v>
      </c>
      <c r="M238" s="19" t="n">
        <v>0.984</v>
      </c>
      <c r="N238" s="28" t="n">
        <v>10</v>
      </c>
      <c r="O238" s="18" t="n">
        <v>29</v>
      </c>
      <c r="P238" s="18" t="n">
        <v>-1.5</v>
      </c>
      <c r="Q238" s="18" t="n">
        <v>-0.93</v>
      </c>
    </row>
    <row r="239" customFormat="false" ht="15" hidden="false" customHeight="false" outlineLevel="0" collapsed="false">
      <c r="A239" s="18" t="n">
        <v>60</v>
      </c>
      <c r="B239" s="18" t="s">
        <v>625</v>
      </c>
      <c r="C239" s="18" t="s">
        <v>577</v>
      </c>
      <c r="D239" s="18" t="s">
        <v>492</v>
      </c>
      <c r="E239" s="18" t="n">
        <v>1</v>
      </c>
      <c r="F239" s="18" t="n">
        <v>0</v>
      </c>
      <c r="G239" s="20" t="n">
        <v>-0.0498</v>
      </c>
      <c r="H239" s="20" t="n">
        <v>0.0077</v>
      </c>
      <c r="I239" s="28" t="n">
        <v>213.2</v>
      </c>
      <c r="J239" s="28" t="n">
        <v>984.1</v>
      </c>
      <c r="K239" s="28" t="n">
        <v>118.3</v>
      </c>
      <c r="L239" s="18"/>
      <c r="M239" s="19" t="n">
        <v>1.927</v>
      </c>
      <c r="N239" s="28" t="n">
        <v>9.84</v>
      </c>
      <c r="O239" s="18" t="n">
        <v>29</v>
      </c>
      <c r="P239" s="18" t="n">
        <v>-1.5</v>
      </c>
      <c r="Q239" s="18" t="n">
        <v>-0.93</v>
      </c>
    </row>
    <row r="240" customFormat="false" ht="15" hidden="false" customHeight="false" outlineLevel="0" collapsed="false">
      <c r="A240" s="18" t="n">
        <v>60</v>
      </c>
      <c r="B240" s="18" t="s">
        <v>626</v>
      </c>
      <c r="C240" s="18" t="s">
        <v>577</v>
      </c>
      <c r="D240" s="18" t="s">
        <v>494</v>
      </c>
      <c r="E240" s="18" t="n">
        <v>0</v>
      </c>
      <c r="F240" s="18" t="n">
        <v>1</v>
      </c>
      <c r="G240" s="20" t="n">
        <v>0.0842</v>
      </c>
      <c r="H240" s="20" t="n">
        <v>0.0069</v>
      </c>
      <c r="I240" s="28" t="n">
        <v>188.6</v>
      </c>
      <c r="J240" s="28" t="n">
        <v>876.3</v>
      </c>
      <c r="K240" s="28" t="n">
        <v>98.1</v>
      </c>
      <c r="L240" s="29" t="n">
        <v>0.465</v>
      </c>
      <c r="M240" s="19" t="n">
        <v>1.269</v>
      </c>
      <c r="N240" s="28" t="n">
        <v>8.79</v>
      </c>
      <c r="O240" s="18" t="n">
        <v>29</v>
      </c>
      <c r="P240" s="18" t="n">
        <v>-1.5</v>
      </c>
      <c r="Q240" s="18" t="n">
        <v>-0.93</v>
      </c>
    </row>
    <row r="241" customFormat="false" ht="15" hidden="false" customHeight="false" outlineLevel="0" collapsed="false">
      <c r="A241" s="18" t="n">
        <v>60</v>
      </c>
      <c r="B241" s="18" t="s">
        <v>626</v>
      </c>
      <c r="C241" s="18" t="s">
        <v>577</v>
      </c>
      <c r="D241" s="18" t="s">
        <v>495</v>
      </c>
      <c r="E241" s="18" t="n">
        <v>1</v>
      </c>
      <c r="F241" s="18" t="n">
        <v>1</v>
      </c>
      <c r="G241" s="20" t="n">
        <v>0.0635</v>
      </c>
      <c r="H241" s="20" t="n">
        <v>0.007</v>
      </c>
      <c r="I241" s="28" t="n">
        <v>205.9</v>
      </c>
      <c r="J241" s="28" t="n">
        <v>983.5</v>
      </c>
      <c r="K241" s="28" t="n">
        <v>116.5</v>
      </c>
      <c r="L241" s="18"/>
      <c r="M241" s="19" t="n">
        <v>1.223</v>
      </c>
      <c r="N241" s="28" t="n">
        <v>9.53</v>
      </c>
      <c r="O241" s="18" t="n">
        <v>29</v>
      </c>
      <c r="P241" s="18" t="n">
        <v>-1.5</v>
      </c>
      <c r="Q241" s="18" t="n">
        <v>-0.93</v>
      </c>
    </row>
    <row r="242" customFormat="false" ht="15" hidden="false" customHeight="false" outlineLevel="0" collapsed="false">
      <c r="A242" s="18" t="n">
        <v>61</v>
      </c>
      <c r="B242" s="18" t="s">
        <v>627</v>
      </c>
      <c r="C242" s="18" t="s">
        <v>522</v>
      </c>
      <c r="D242" s="18" t="s">
        <v>491</v>
      </c>
      <c r="E242" s="18" t="n">
        <v>0</v>
      </c>
      <c r="F242" s="18" t="n">
        <v>0</v>
      </c>
      <c r="G242" s="20" t="n">
        <v>-0.0436</v>
      </c>
      <c r="H242" s="20" t="n">
        <v>0.0052</v>
      </c>
      <c r="I242" s="28" t="n">
        <v>186</v>
      </c>
      <c r="J242" s="28" t="n">
        <v>527.6</v>
      </c>
      <c r="K242" s="28" t="n">
        <v>126.1</v>
      </c>
      <c r="L242" s="29" t="n">
        <v>2.585</v>
      </c>
      <c r="M242" s="19" t="n">
        <v>0.805</v>
      </c>
      <c r="N242" s="28" t="n">
        <v>7.28</v>
      </c>
      <c r="O242" s="18" t="n">
        <v>34</v>
      </c>
      <c r="P242" s="18" t="n">
        <v>-1.25</v>
      </c>
      <c r="Q242" s="18" t="n">
        <v>-0.93</v>
      </c>
    </row>
    <row r="243" customFormat="false" ht="15" hidden="false" customHeight="false" outlineLevel="0" collapsed="false">
      <c r="A243" s="18" t="n">
        <v>61</v>
      </c>
      <c r="B243" s="18" t="s">
        <v>627</v>
      </c>
      <c r="C243" s="18" t="s">
        <v>522</v>
      </c>
      <c r="D243" s="18" t="s">
        <v>492</v>
      </c>
      <c r="E243" s="18" t="n">
        <v>1</v>
      </c>
      <c r="F243" s="18" t="n">
        <v>0</v>
      </c>
      <c r="G243" s="20" t="n">
        <v>-0.0229</v>
      </c>
      <c r="H243" s="20" t="n">
        <v>0.0087</v>
      </c>
      <c r="I243" s="28" t="n">
        <v>181.7</v>
      </c>
      <c r="J243" s="28" t="n">
        <v>634.8</v>
      </c>
      <c r="K243" s="28" t="n">
        <v>126.5</v>
      </c>
      <c r="L243" s="29" t="n">
        <v>5.26</v>
      </c>
      <c r="M243" s="19" t="n">
        <v>1.236</v>
      </c>
      <c r="N243" s="28" t="n">
        <v>8.08</v>
      </c>
      <c r="O243" s="18" t="n">
        <v>34</v>
      </c>
      <c r="P243" s="18" t="n">
        <v>-1.25</v>
      </c>
      <c r="Q243" s="18" t="n">
        <v>-0.93</v>
      </c>
    </row>
    <row r="244" customFormat="false" ht="15" hidden="false" customHeight="false" outlineLevel="0" collapsed="false">
      <c r="A244" s="18" t="n">
        <v>61</v>
      </c>
      <c r="B244" s="18" t="s">
        <v>628</v>
      </c>
      <c r="C244" s="18" t="s">
        <v>522</v>
      </c>
      <c r="D244" s="18" t="s">
        <v>494</v>
      </c>
      <c r="E244" s="18" t="n">
        <v>0</v>
      </c>
      <c r="F244" s="18" t="n">
        <v>1</v>
      </c>
      <c r="G244" s="20" t="n">
        <v>0.0273</v>
      </c>
      <c r="H244" s="20" t="n">
        <v>0.0056</v>
      </c>
      <c r="I244" s="28" t="n">
        <v>207</v>
      </c>
      <c r="J244" s="28" t="n">
        <v>519.9</v>
      </c>
      <c r="K244" s="28" t="n">
        <v>147.5</v>
      </c>
      <c r="L244" s="29" t="n">
        <v>1.27</v>
      </c>
      <c r="M244" s="19" t="n">
        <v>0.985</v>
      </c>
      <c r="N244" s="28" t="n">
        <v>7.28</v>
      </c>
      <c r="O244" s="18" t="n">
        <v>34</v>
      </c>
      <c r="P244" s="18" t="n">
        <v>-1.25</v>
      </c>
      <c r="Q244" s="18" t="n">
        <v>-0.93</v>
      </c>
    </row>
    <row r="245" customFormat="false" ht="15" hidden="false" customHeight="false" outlineLevel="0" collapsed="false">
      <c r="A245" s="18" t="n">
        <v>61</v>
      </c>
      <c r="B245" s="18" t="s">
        <v>628</v>
      </c>
      <c r="C245" s="18" t="s">
        <v>522</v>
      </c>
      <c r="D245" s="18" t="s">
        <v>495</v>
      </c>
      <c r="E245" s="18" t="n">
        <v>1</v>
      </c>
      <c r="F245" s="18" t="n">
        <v>1</v>
      </c>
      <c r="G245" s="20" t="n">
        <v>0.0084</v>
      </c>
      <c r="H245" s="20" t="n">
        <v>0.0082</v>
      </c>
      <c r="I245" s="28" t="n">
        <v>200.7</v>
      </c>
      <c r="J245" s="28" t="n">
        <v>628.9</v>
      </c>
      <c r="K245" s="28" t="n">
        <v>141.8</v>
      </c>
      <c r="L245" s="29" t="n">
        <v>2.128</v>
      </c>
      <c r="M245" s="19" t="n">
        <v>1.652</v>
      </c>
      <c r="N245" s="28" t="n">
        <v>9.42</v>
      </c>
      <c r="O245" s="18" t="n">
        <v>34</v>
      </c>
      <c r="P245" s="18" t="n">
        <v>-1.25</v>
      </c>
      <c r="Q245" s="18" t="n">
        <v>-0.93</v>
      </c>
    </row>
    <row r="246" customFormat="false" ht="15" hidden="false" customHeight="false" outlineLevel="0" collapsed="false">
      <c r="A246" s="18" t="n">
        <v>62</v>
      </c>
      <c r="B246" s="18" t="s">
        <v>629</v>
      </c>
      <c r="C246" s="18" t="s">
        <v>522</v>
      </c>
      <c r="D246" s="18" t="s">
        <v>491</v>
      </c>
      <c r="E246" s="18" t="n">
        <v>0</v>
      </c>
      <c r="F246" s="18" t="n">
        <v>0</v>
      </c>
      <c r="G246" s="20" t="n">
        <v>-0.0406</v>
      </c>
      <c r="H246" s="20" t="n">
        <v>0.0099</v>
      </c>
      <c r="I246" s="28" t="n">
        <v>176.2</v>
      </c>
      <c r="J246" s="28" t="n">
        <v>527.1</v>
      </c>
      <c r="K246" s="28" t="n">
        <v>122.6</v>
      </c>
      <c r="L246" s="29" t="n">
        <v>3.517</v>
      </c>
      <c r="M246" s="19" t="n">
        <v>0.911</v>
      </c>
      <c r="N246" s="28" t="n">
        <v>7.84</v>
      </c>
      <c r="O246" s="18" t="n">
        <v>34</v>
      </c>
      <c r="P246" s="18" t="n">
        <v>-1.25</v>
      </c>
      <c r="Q246" s="18" t="n">
        <v>-0.93</v>
      </c>
    </row>
    <row r="247" customFormat="false" ht="15" hidden="false" customHeight="false" outlineLevel="0" collapsed="false">
      <c r="A247" s="18" t="n">
        <v>62</v>
      </c>
      <c r="B247" s="18" t="s">
        <v>629</v>
      </c>
      <c r="C247" s="18" t="s">
        <v>522</v>
      </c>
      <c r="D247" s="18" t="s">
        <v>492</v>
      </c>
      <c r="E247" s="18" t="n">
        <v>1</v>
      </c>
      <c r="F247" s="18" t="n">
        <v>0</v>
      </c>
      <c r="G247" s="20" t="n">
        <v>-0.0445</v>
      </c>
      <c r="H247" s="20" t="n">
        <v>0.0068</v>
      </c>
      <c r="I247" s="28" t="n">
        <v>204.1</v>
      </c>
      <c r="J247" s="28" t="n">
        <v>630.7</v>
      </c>
      <c r="K247" s="28" t="n">
        <v>127.6</v>
      </c>
      <c r="L247" s="18"/>
      <c r="M247" s="19" t="n">
        <v>1.323</v>
      </c>
      <c r="N247" s="28" t="n">
        <v>7.61</v>
      </c>
      <c r="O247" s="18" t="n">
        <v>34</v>
      </c>
      <c r="P247" s="18" t="n">
        <v>-1.25</v>
      </c>
      <c r="Q247" s="18" t="n">
        <v>-0.93</v>
      </c>
    </row>
    <row r="248" customFormat="false" ht="15" hidden="false" customHeight="false" outlineLevel="0" collapsed="false">
      <c r="A248" s="18" t="n">
        <v>62</v>
      </c>
      <c r="B248" s="18" t="s">
        <v>630</v>
      </c>
      <c r="C248" s="18" t="s">
        <v>522</v>
      </c>
      <c r="D248" s="18" t="s">
        <v>494</v>
      </c>
      <c r="E248" s="18" t="n">
        <v>0</v>
      </c>
      <c r="F248" s="18" t="n">
        <v>1</v>
      </c>
      <c r="G248" s="20" t="n">
        <v>0.0302</v>
      </c>
      <c r="H248" s="20" t="n">
        <v>0.0123</v>
      </c>
      <c r="I248" s="28" t="n">
        <v>187.9</v>
      </c>
      <c r="J248" s="28" t="n">
        <v>520.4</v>
      </c>
      <c r="K248" s="28" t="n">
        <v>178</v>
      </c>
      <c r="L248" s="18"/>
      <c r="M248" s="19" t="n">
        <v>0.784</v>
      </c>
      <c r="N248" s="28" t="n">
        <v>10.96</v>
      </c>
      <c r="O248" s="18" t="n">
        <v>37</v>
      </c>
      <c r="P248" s="18" t="n">
        <v>-1.25</v>
      </c>
      <c r="Q248" s="18" t="n">
        <v>-0.93</v>
      </c>
    </row>
    <row r="249" customFormat="false" ht="15" hidden="false" customHeight="false" outlineLevel="0" collapsed="false">
      <c r="A249" s="18" t="n">
        <v>62</v>
      </c>
      <c r="B249" s="18" t="s">
        <v>630</v>
      </c>
      <c r="C249" s="18" t="s">
        <v>522</v>
      </c>
      <c r="D249" s="18" t="s">
        <v>495</v>
      </c>
      <c r="E249" s="18" t="n">
        <v>1</v>
      </c>
      <c r="F249" s="18" t="n">
        <v>1</v>
      </c>
      <c r="G249" s="20" t="n">
        <v>0.0361</v>
      </c>
      <c r="H249" s="20" t="n">
        <v>0.0087</v>
      </c>
      <c r="I249" s="28" t="n">
        <v>184</v>
      </c>
      <c r="J249" s="28" t="n">
        <v>625.6</v>
      </c>
      <c r="K249" s="28" t="n">
        <v>169.4</v>
      </c>
      <c r="L249" s="18"/>
      <c r="M249" s="19" t="n">
        <v>0.501</v>
      </c>
      <c r="N249" s="28" t="n">
        <v>7.96</v>
      </c>
      <c r="O249" s="18" t="n">
        <v>37</v>
      </c>
      <c r="P249" s="18" t="n">
        <v>-1.25</v>
      </c>
      <c r="Q249" s="18" t="n">
        <v>-0.93</v>
      </c>
    </row>
    <row r="250" customFormat="false" ht="15" hidden="false" customHeight="false" outlineLevel="0" collapsed="false">
      <c r="A250" s="18" t="n">
        <v>63</v>
      </c>
      <c r="B250" s="18" t="s">
        <v>631</v>
      </c>
      <c r="C250" s="18" t="s">
        <v>500</v>
      </c>
      <c r="D250" s="18" t="s">
        <v>491</v>
      </c>
      <c r="E250" s="18" t="n">
        <v>0</v>
      </c>
      <c r="F250" s="18" t="n">
        <v>0</v>
      </c>
      <c r="G250" s="20" t="n">
        <v>-0.0439</v>
      </c>
      <c r="H250" s="20" t="n">
        <v>0.0043</v>
      </c>
      <c r="I250" s="28" t="n">
        <v>189.6</v>
      </c>
      <c r="J250" s="28" t="n">
        <v>528.6</v>
      </c>
      <c r="K250" s="28" t="n">
        <v>104.1</v>
      </c>
      <c r="L250" s="18"/>
      <c r="M250" s="19" t="n">
        <v>0.774</v>
      </c>
      <c r="N250" s="28" t="n">
        <v>6.07</v>
      </c>
      <c r="O250" s="18" t="n">
        <v>30</v>
      </c>
      <c r="P250" s="18" t="n">
        <v>-1.25</v>
      </c>
      <c r="Q250" s="18" t="n">
        <v>-0.93</v>
      </c>
    </row>
    <row r="251" customFormat="false" ht="15" hidden="false" customHeight="false" outlineLevel="0" collapsed="false">
      <c r="A251" s="18" t="n">
        <v>63</v>
      </c>
      <c r="B251" s="18" t="s">
        <v>631</v>
      </c>
      <c r="C251" s="18" t="s">
        <v>500</v>
      </c>
      <c r="D251" s="18" t="s">
        <v>492</v>
      </c>
      <c r="E251" s="18" t="n">
        <v>1</v>
      </c>
      <c r="F251" s="18" t="n">
        <v>0</v>
      </c>
      <c r="G251" s="20" t="n">
        <v>-0.0459</v>
      </c>
      <c r="H251" s="20" t="n">
        <v>0.006</v>
      </c>
      <c r="I251" s="28" t="n">
        <v>184.9</v>
      </c>
      <c r="J251" s="28" t="n">
        <v>636</v>
      </c>
      <c r="K251" s="28" t="n">
        <v>101</v>
      </c>
      <c r="L251" s="29" t="n">
        <v>1.264</v>
      </c>
      <c r="M251" s="19" t="n">
        <v>0.693</v>
      </c>
      <c r="N251" s="28" t="n">
        <v>7.4</v>
      </c>
      <c r="O251" s="18" t="n">
        <v>30</v>
      </c>
      <c r="P251" s="18" t="n">
        <v>-1.25</v>
      </c>
      <c r="Q251" s="18" t="n">
        <v>-0.93</v>
      </c>
    </row>
    <row r="252" customFormat="false" ht="15" hidden="false" customHeight="false" outlineLevel="0" collapsed="false">
      <c r="A252" s="18" t="n">
        <v>63</v>
      </c>
      <c r="B252" s="18" t="s">
        <v>632</v>
      </c>
      <c r="C252" s="18" t="s">
        <v>500</v>
      </c>
      <c r="D252" s="18" t="s">
        <v>494</v>
      </c>
      <c r="E252" s="18" t="n">
        <v>0</v>
      </c>
      <c r="F252" s="18" t="n">
        <v>1</v>
      </c>
      <c r="G252" s="20" t="n">
        <v>0.0457</v>
      </c>
      <c r="H252" s="20" t="n">
        <v>0.005</v>
      </c>
      <c r="I252" s="28" t="n">
        <v>180.3</v>
      </c>
      <c r="J252" s="28" t="n">
        <v>527.5</v>
      </c>
      <c r="K252" s="28" t="n">
        <v>118.9</v>
      </c>
      <c r="L252" s="18"/>
      <c r="M252" s="19" t="n">
        <v>0.814</v>
      </c>
      <c r="N252" s="28" t="n">
        <v>7.23</v>
      </c>
      <c r="O252" s="18" t="n">
        <v>33</v>
      </c>
      <c r="P252" s="18" t="n">
        <v>-1.25</v>
      </c>
      <c r="Q252" s="18" t="n">
        <v>-0.93</v>
      </c>
    </row>
    <row r="253" customFormat="false" ht="15" hidden="false" customHeight="false" outlineLevel="0" collapsed="false">
      <c r="A253" s="18" t="n">
        <v>63</v>
      </c>
      <c r="B253" s="18" t="s">
        <v>632</v>
      </c>
      <c r="C253" s="18" t="s">
        <v>500</v>
      </c>
      <c r="D253" s="18" t="s">
        <v>495</v>
      </c>
      <c r="E253" s="18" t="n">
        <v>1</v>
      </c>
      <c r="F253" s="18" t="n">
        <v>1</v>
      </c>
      <c r="G253" s="20" t="n">
        <v>0.0369</v>
      </c>
      <c r="H253" s="20" t="n">
        <v>0.0059</v>
      </c>
      <c r="I253" s="28" t="n">
        <v>178.1</v>
      </c>
      <c r="J253" s="28" t="n">
        <v>636.3</v>
      </c>
      <c r="K253" s="28" t="n">
        <v>118.4</v>
      </c>
      <c r="L253" s="29" t="n">
        <v>0.955</v>
      </c>
      <c r="M253" s="19" t="n">
        <v>0.879</v>
      </c>
      <c r="N253" s="28" t="n">
        <v>7.07</v>
      </c>
      <c r="O253" s="18" t="n">
        <v>33</v>
      </c>
      <c r="P253" s="18" t="n">
        <v>-1.25</v>
      </c>
      <c r="Q253" s="18" t="n">
        <v>-0.93</v>
      </c>
    </row>
    <row r="254" customFormat="false" ht="15" hidden="false" customHeight="false" outlineLevel="0" collapsed="false">
      <c r="A254" s="18" t="n">
        <v>64</v>
      </c>
      <c r="B254" s="18" t="s">
        <v>633</v>
      </c>
      <c r="C254" s="18" t="s">
        <v>634</v>
      </c>
      <c r="D254" s="18" t="s">
        <v>491</v>
      </c>
      <c r="E254" s="18" t="n">
        <v>0</v>
      </c>
      <c r="F254" s="18" t="n">
        <v>0</v>
      </c>
      <c r="G254" s="20" t="n">
        <v>-0.0761</v>
      </c>
      <c r="H254" s="20" t="n">
        <v>0.0066</v>
      </c>
      <c r="I254" s="28" t="n">
        <v>229</v>
      </c>
      <c r="J254" s="28" t="n">
        <v>1343.4</v>
      </c>
      <c r="K254" s="28" t="n">
        <v>142.9</v>
      </c>
      <c r="L254" s="29" t="n">
        <v>2.301</v>
      </c>
      <c r="M254" s="19" t="n">
        <v>1.162</v>
      </c>
      <c r="N254" s="28" t="n">
        <v>8.3</v>
      </c>
      <c r="O254" s="18" t="n">
        <v>31</v>
      </c>
      <c r="P254" s="18" t="n">
        <v>-1.75</v>
      </c>
      <c r="Q254" s="18" t="n">
        <v>-0.93</v>
      </c>
    </row>
    <row r="255" customFormat="false" ht="15" hidden="false" customHeight="false" outlineLevel="0" collapsed="false">
      <c r="A255" s="18" t="n">
        <v>64</v>
      </c>
      <c r="B255" s="18" t="s">
        <v>633</v>
      </c>
      <c r="C255" s="18" t="s">
        <v>634</v>
      </c>
      <c r="D255" s="18" t="s">
        <v>492</v>
      </c>
      <c r="E255" s="18" t="n">
        <v>1</v>
      </c>
      <c r="F255" s="18" t="n">
        <v>0</v>
      </c>
      <c r="G255" s="20" t="n">
        <v>-0.0733</v>
      </c>
      <c r="H255" s="20" t="n">
        <v>0.0074</v>
      </c>
      <c r="I255" s="28" t="n">
        <v>208.9</v>
      </c>
      <c r="J255" s="28" t="n">
        <v>1460.4</v>
      </c>
      <c r="K255" s="28" t="n">
        <v>128.9</v>
      </c>
      <c r="L255" s="29" t="n">
        <v>0.771</v>
      </c>
      <c r="M255" s="19" t="n">
        <v>0.625</v>
      </c>
      <c r="N255" s="28" t="n">
        <v>9.48</v>
      </c>
      <c r="O255" s="18" t="n">
        <v>31</v>
      </c>
      <c r="P255" s="18" t="n">
        <v>-1.75</v>
      </c>
      <c r="Q255" s="18" t="n">
        <v>-0.93</v>
      </c>
    </row>
    <row r="256" customFormat="false" ht="15" hidden="false" customHeight="false" outlineLevel="0" collapsed="false">
      <c r="A256" s="18" t="n">
        <v>64</v>
      </c>
      <c r="B256" s="18" t="s">
        <v>635</v>
      </c>
      <c r="C256" s="18" t="s">
        <v>634</v>
      </c>
      <c r="D256" s="18" t="s">
        <v>494</v>
      </c>
      <c r="E256" s="18" t="n">
        <v>0</v>
      </c>
      <c r="F256" s="18" t="n">
        <v>1</v>
      </c>
      <c r="G256" s="20" t="n">
        <v>0.1167</v>
      </c>
      <c r="H256" s="20" t="n">
        <v>0.0067</v>
      </c>
      <c r="I256" s="28" t="n">
        <v>219.1</v>
      </c>
      <c r="J256" s="28" t="n">
        <v>1340.1</v>
      </c>
      <c r="K256" s="28" t="n">
        <v>150.6</v>
      </c>
      <c r="L256" s="29" t="n">
        <v>5.082</v>
      </c>
      <c r="M256" s="19" t="n">
        <v>1.201</v>
      </c>
      <c r="N256" s="28" t="n">
        <v>8.32</v>
      </c>
      <c r="O256" s="18" t="n">
        <v>33</v>
      </c>
      <c r="P256" s="18" t="n">
        <v>-1.75</v>
      </c>
      <c r="Q256" s="18" t="n">
        <v>-0.93</v>
      </c>
    </row>
    <row r="257" customFormat="false" ht="15" hidden="false" customHeight="false" outlineLevel="0" collapsed="false">
      <c r="A257" s="18" t="n">
        <v>64</v>
      </c>
      <c r="B257" s="18" t="s">
        <v>635</v>
      </c>
      <c r="C257" s="18" t="s">
        <v>634</v>
      </c>
      <c r="D257" s="18" t="s">
        <v>495</v>
      </c>
      <c r="E257" s="18" t="n">
        <v>1</v>
      </c>
      <c r="F257" s="18" t="n">
        <v>1</v>
      </c>
      <c r="G257" s="20" t="n">
        <v>0.0898</v>
      </c>
      <c r="H257" s="20" t="n">
        <v>0.0062</v>
      </c>
      <c r="I257" s="28" t="n">
        <v>221.7</v>
      </c>
      <c r="J257" s="28" t="n">
        <v>1457.6</v>
      </c>
      <c r="K257" s="28" t="n">
        <v>149.4</v>
      </c>
      <c r="L257" s="29" t="n">
        <v>5.626</v>
      </c>
      <c r="M257" s="19" t="n">
        <v>1.074</v>
      </c>
      <c r="N257" s="28" t="n">
        <v>8.95</v>
      </c>
      <c r="O257" s="18" t="n">
        <v>33</v>
      </c>
      <c r="P257" s="18" t="n">
        <v>-1.75</v>
      </c>
      <c r="Q257" s="18" t="n">
        <v>-0.93</v>
      </c>
    </row>
    <row r="258" customFormat="false" ht="15" hidden="false" customHeight="false" outlineLevel="0" collapsed="false">
      <c r="A258" s="18" t="n">
        <v>65</v>
      </c>
      <c r="B258" s="18" t="s">
        <v>636</v>
      </c>
      <c r="C258" s="18" t="s">
        <v>637</v>
      </c>
      <c r="D258" s="18" t="s">
        <v>491</v>
      </c>
      <c r="E258" s="18" t="n">
        <v>0</v>
      </c>
      <c r="F258" s="18" t="n">
        <v>0</v>
      </c>
      <c r="G258" s="20" t="n">
        <v>-0.055</v>
      </c>
      <c r="H258" s="20" t="n">
        <v>0.0055</v>
      </c>
      <c r="I258" s="28" t="n">
        <v>221.7</v>
      </c>
      <c r="J258" s="28" t="n">
        <v>872.3</v>
      </c>
      <c r="K258" s="28" t="n">
        <v>181</v>
      </c>
      <c r="L258" s="18"/>
      <c r="M258" s="19" t="n">
        <v>0.843</v>
      </c>
      <c r="N258" s="28" t="n">
        <v>9.55</v>
      </c>
      <c r="O258" s="18" t="n">
        <v>37</v>
      </c>
      <c r="P258" s="18" t="n">
        <v>-1.5</v>
      </c>
      <c r="Q258" s="18" t="n">
        <v>-0.93</v>
      </c>
    </row>
    <row r="259" customFormat="false" ht="15" hidden="false" customHeight="false" outlineLevel="0" collapsed="false">
      <c r="A259" s="18" t="n">
        <v>65</v>
      </c>
      <c r="B259" s="18" t="s">
        <v>636</v>
      </c>
      <c r="C259" s="18" t="s">
        <v>637</v>
      </c>
      <c r="D259" s="18" t="s">
        <v>492</v>
      </c>
      <c r="E259" s="18" t="n">
        <v>1</v>
      </c>
      <c r="F259" s="18" t="n">
        <v>0</v>
      </c>
      <c r="G259" s="20" t="n">
        <v>-0.0744</v>
      </c>
      <c r="H259" s="20" t="n">
        <v>0.009</v>
      </c>
      <c r="I259" s="28" t="n">
        <v>198.8</v>
      </c>
      <c r="J259" s="28" t="n">
        <v>987.4</v>
      </c>
      <c r="K259" s="28" t="n">
        <v>182.3</v>
      </c>
      <c r="L259" s="29" t="n">
        <v>0.939</v>
      </c>
      <c r="M259" s="19" t="n">
        <v>0.823</v>
      </c>
      <c r="N259" s="28" t="n">
        <v>7.68</v>
      </c>
      <c r="O259" s="18" t="n">
        <v>37</v>
      </c>
      <c r="P259" s="18" t="n">
        <v>-1.5</v>
      </c>
      <c r="Q259" s="18" t="n">
        <v>-0.93</v>
      </c>
    </row>
    <row r="260" customFormat="false" ht="15" hidden="false" customHeight="false" outlineLevel="0" collapsed="false">
      <c r="A260" s="18" t="n">
        <v>65</v>
      </c>
      <c r="B260" s="18" t="s">
        <v>638</v>
      </c>
      <c r="C260" s="18" t="s">
        <v>637</v>
      </c>
      <c r="D260" s="18" t="s">
        <v>494</v>
      </c>
      <c r="E260" s="18" t="n">
        <v>0</v>
      </c>
      <c r="F260" s="18" t="n">
        <v>1</v>
      </c>
      <c r="G260" s="20" t="n">
        <v>0.07</v>
      </c>
      <c r="H260" s="20" t="n">
        <v>0.0072</v>
      </c>
      <c r="I260" s="28" t="n">
        <v>207.2</v>
      </c>
      <c r="J260" s="28" t="n">
        <v>882.1</v>
      </c>
      <c r="K260" s="28" t="n">
        <v>144.6</v>
      </c>
      <c r="L260" s="18"/>
      <c r="M260" s="19" t="n">
        <v>1.356</v>
      </c>
      <c r="N260" s="28" t="n">
        <v>10.24</v>
      </c>
      <c r="O260" s="18" t="n">
        <v>33</v>
      </c>
      <c r="P260" s="18" t="n">
        <v>-1.5</v>
      </c>
      <c r="Q260" s="18" t="n">
        <v>-0.93</v>
      </c>
    </row>
    <row r="261" customFormat="false" ht="15" hidden="false" customHeight="false" outlineLevel="0" collapsed="false">
      <c r="A261" s="18" t="n">
        <v>65</v>
      </c>
      <c r="B261" s="18" t="s">
        <v>638</v>
      </c>
      <c r="C261" s="18" t="s">
        <v>637</v>
      </c>
      <c r="D261" s="18" t="s">
        <v>495</v>
      </c>
      <c r="E261" s="18" t="n">
        <v>1</v>
      </c>
      <c r="F261" s="18" t="n">
        <v>1</v>
      </c>
      <c r="G261" s="20" t="n">
        <v>0.0624</v>
      </c>
      <c r="H261" s="20" t="n">
        <v>0.0087</v>
      </c>
      <c r="I261" s="28" t="n">
        <v>213.8</v>
      </c>
      <c r="J261" s="28" t="n">
        <v>992.2</v>
      </c>
      <c r="K261" s="28" t="n">
        <v>142.1</v>
      </c>
      <c r="L261" s="29" t="n">
        <v>1.433</v>
      </c>
      <c r="M261" s="19" t="n">
        <v>1.162</v>
      </c>
      <c r="N261" s="28" t="n">
        <v>8.22</v>
      </c>
      <c r="O261" s="18" t="n">
        <v>33</v>
      </c>
      <c r="P261" s="18" t="n">
        <v>-1.5</v>
      </c>
      <c r="Q261" s="18" t="n">
        <v>-0.93</v>
      </c>
    </row>
    <row r="262" customFormat="false" ht="15" hidden="false" customHeight="false" outlineLevel="0" collapsed="false">
      <c r="A262" s="18" t="n">
        <v>66</v>
      </c>
      <c r="B262" s="18" t="s">
        <v>639</v>
      </c>
      <c r="C262" s="18" t="s">
        <v>500</v>
      </c>
      <c r="D262" s="18" t="s">
        <v>491</v>
      </c>
      <c r="E262" s="18" t="n">
        <v>0</v>
      </c>
      <c r="F262" s="18" t="n">
        <v>0</v>
      </c>
      <c r="G262" s="20" t="n">
        <v>-0.0415</v>
      </c>
      <c r="H262" s="20" t="n">
        <v>0.0079</v>
      </c>
      <c r="I262" s="28" t="n">
        <v>185.6</v>
      </c>
      <c r="J262" s="28" t="n">
        <v>533.9</v>
      </c>
      <c r="K262" s="28" t="n">
        <v>154.5</v>
      </c>
      <c r="L262" s="29" t="n">
        <v>0.938</v>
      </c>
      <c r="M262" s="19" t="n">
        <v>0.956</v>
      </c>
      <c r="N262" s="28" t="n">
        <v>7.6</v>
      </c>
      <c r="O262" s="18" t="n">
        <v>35</v>
      </c>
      <c r="P262" s="18" t="n">
        <v>-1.25</v>
      </c>
      <c r="Q262" s="18" t="n">
        <v>-0.93</v>
      </c>
    </row>
    <row r="263" customFormat="false" ht="15" hidden="false" customHeight="false" outlineLevel="0" collapsed="false">
      <c r="A263" s="18" t="n">
        <v>66</v>
      </c>
      <c r="B263" s="18" t="s">
        <v>639</v>
      </c>
      <c r="C263" s="18" t="s">
        <v>500</v>
      </c>
      <c r="D263" s="18" t="s">
        <v>492</v>
      </c>
      <c r="E263" s="18" t="n">
        <v>1</v>
      </c>
      <c r="F263" s="18" t="n">
        <v>0</v>
      </c>
      <c r="G263" s="20" t="n">
        <v>-0.0562</v>
      </c>
      <c r="H263" s="20" t="n">
        <v>0.0065</v>
      </c>
      <c r="I263" s="28" t="n">
        <v>194.5</v>
      </c>
      <c r="J263" s="28" t="n">
        <v>638.8</v>
      </c>
      <c r="K263" s="28" t="n">
        <v>145.2</v>
      </c>
      <c r="L263" s="18"/>
      <c r="M263" s="19" t="n">
        <v>0.687</v>
      </c>
      <c r="N263" s="28" t="n">
        <v>6.4</v>
      </c>
      <c r="O263" s="18" t="n">
        <v>35</v>
      </c>
      <c r="P263" s="18" t="n">
        <v>-1.25</v>
      </c>
      <c r="Q263" s="18" t="n">
        <v>-0.93</v>
      </c>
    </row>
    <row r="264" customFormat="false" ht="15" hidden="false" customHeight="false" outlineLevel="0" collapsed="false">
      <c r="A264" s="18" t="n">
        <v>66</v>
      </c>
      <c r="B264" s="18" t="s">
        <v>640</v>
      </c>
      <c r="C264" s="18" t="s">
        <v>500</v>
      </c>
      <c r="D264" s="18" t="s">
        <v>494</v>
      </c>
      <c r="E264" s="18" t="n">
        <v>0</v>
      </c>
      <c r="F264" s="18" t="n">
        <v>1</v>
      </c>
      <c r="G264" s="20" t="n">
        <v>0.0579</v>
      </c>
      <c r="H264" s="20" t="n">
        <v>0.0062</v>
      </c>
      <c r="I264" s="28" t="n">
        <v>184.3</v>
      </c>
      <c r="J264" s="28" t="n">
        <v>524.1</v>
      </c>
      <c r="K264" s="28" t="n">
        <v>127.9</v>
      </c>
      <c r="L264" s="29" t="n">
        <v>4.069</v>
      </c>
      <c r="M264" s="19" t="n">
        <v>0.862</v>
      </c>
      <c r="N264" s="28" t="n">
        <v>7</v>
      </c>
      <c r="O264" s="18" t="n">
        <v>35</v>
      </c>
      <c r="P264" s="18" t="n">
        <v>-1.25</v>
      </c>
      <c r="Q264" s="18" t="n">
        <v>-0.93</v>
      </c>
    </row>
    <row r="265" customFormat="false" ht="15" hidden="false" customHeight="false" outlineLevel="0" collapsed="false">
      <c r="A265" s="18" t="n">
        <v>66</v>
      </c>
      <c r="B265" s="18" t="s">
        <v>640</v>
      </c>
      <c r="C265" s="18" t="s">
        <v>500</v>
      </c>
      <c r="D265" s="18" t="s">
        <v>495</v>
      </c>
      <c r="E265" s="18" t="n">
        <v>1</v>
      </c>
      <c r="F265" s="18" t="n">
        <v>1</v>
      </c>
      <c r="G265" s="20" t="n">
        <v>0.0357</v>
      </c>
      <c r="H265" s="20" t="n">
        <v>0.0098</v>
      </c>
      <c r="I265" s="28" t="n">
        <v>196.6</v>
      </c>
      <c r="J265" s="28" t="n">
        <v>630.8</v>
      </c>
      <c r="K265" s="28" t="n">
        <v>140.6</v>
      </c>
      <c r="L265" s="29" t="n">
        <v>0.568</v>
      </c>
      <c r="M265" s="19" t="n">
        <v>0.839</v>
      </c>
      <c r="N265" s="28" t="n">
        <v>8.28</v>
      </c>
      <c r="O265" s="18" t="n">
        <v>35</v>
      </c>
      <c r="P265" s="18" t="n">
        <v>-1.25</v>
      </c>
      <c r="Q265" s="18" t="n">
        <v>-0.93</v>
      </c>
    </row>
    <row r="266" customFormat="false" ht="15" hidden="false" customHeight="false" outlineLevel="0" collapsed="false">
      <c r="A266" s="18" t="n">
        <v>67</v>
      </c>
      <c r="B266" s="18" t="s">
        <v>641</v>
      </c>
      <c r="C266" s="18" t="s">
        <v>522</v>
      </c>
      <c r="D266" s="18" t="s">
        <v>491</v>
      </c>
      <c r="E266" s="18" t="n">
        <v>0</v>
      </c>
      <c r="F266" s="18" t="n">
        <v>0</v>
      </c>
      <c r="G266" s="20" t="n">
        <v>-0.0518</v>
      </c>
      <c r="H266" s="20" t="n">
        <v>0.0048</v>
      </c>
      <c r="I266" s="28" t="n">
        <v>179.9</v>
      </c>
      <c r="J266" s="28" t="n">
        <v>533</v>
      </c>
      <c r="K266" s="28" t="n">
        <v>132.6</v>
      </c>
      <c r="L266" s="29" t="n">
        <v>1.391</v>
      </c>
      <c r="M266" s="19" t="n">
        <v>0.998</v>
      </c>
      <c r="N266" s="28" t="n">
        <v>6.41</v>
      </c>
      <c r="O266" s="18" t="n">
        <v>33</v>
      </c>
      <c r="P266" s="18" t="n">
        <v>-1.25</v>
      </c>
      <c r="Q266" s="18" t="n">
        <v>-0.93</v>
      </c>
    </row>
    <row r="267" customFormat="false" ht="15" hidden="false" customHeight="false" outlineLevel="0" collapsed="false">
      <c r="A267" s="18" t="n">
        <v>67</v>
      </c>
      <c r="B267" s="18" t="s">
        <v>641</v>
      </c>
      <c r="C267" s="18" t="s">
        <v>522</v>
      </c>
      <c r="D267" s="18" t="s">
        <v>492</v>
      </c>
      <c r="E267" s="18" t="n">
        <v>1</v>
      </c>
      <c r="F267" s="18" t="n">
        <v>0</v>
      </c>
      <c r="G267" s="20" t="n">
        <v>-0.0451</v>
      </c>
      <c r="H267" s="20" t="n">
        <v>0.0055</v>
      </c>
      <c r="I267" s="28" t="n">
        <v>190.2</v>
      </c>
      <c r="J267" s="28" t="n">
        <v>636.6</v>
      </c>
      <c r="K267" s="28" t="n">
        <v>133.7</v>
      </c>
      <c r="L267" s="29" t="n">
        <v>2.597</v>
      </c>
      <c r="M267" s="19" t="n">
        <v>0.633</v>
      </c>
      <c r="N267" s="28" t="n">
        <v>6.46</v>
      </c>
      <c r="O267" s="18" t="n">
        <v>33</v>
      </c>
      <c r="P267" s="18" t="n">
        <v>-1.25</v>
      </c>
      <c r="Q267" s="18" t="n">
        <v>-0.93</v>
      </c>
    </row>
    <row r="268" customFormat="false" ht="15" hidden="false" customHeight="false" outlineLevel="0" collapsed="false">
      <c r="A268" s="18" t="n">
        <v>67</v>
      </c>
      <c r="B268" s="18" t="s">
        <v>642</v>
      </c>
      <c r="C268" s="18" t="s">
        <v>522</v>
      </c>
      <c r="D268" s="18" t="s">
        <v>494</v>
      </c>
      <c r="E268" s="18" t="n">
        <v>0</v>
      </c>
      <c r="F268" s="18" t="n">
        <v>1</v>
      </c>
      <c r="G268" s="20" t="n">
        <v>0.0492</v>
      </c>
      <c r="H268" s="20" t="n">
        <v>0.0085</v>
      </c>
      <c r="I268" s="28" t="n">
        <v>163</v>
      </c>
      <c r="J268" s="28" t="n">
        <v>538.3</v>
      </c>
      <c r="K268" s="28" t="n">
        <v>129.4</v>
      </c>
      <c r="L268" s="29" t="n">
        <v>4.18</v>
      </c>
      <c r="M268" s="19" t="n">
        <v>0.726</v>
      </c>
      <c r="N268" s="28" t="n">
        <v>6.76</v>
      </c>
      <c r="O268" s="18" t="n">
        <v>33</v>
      </c>
      <c r="P268" s="18" t="n">
        <v>-1.25</v>
      </c>
      <c r="Q268" s="18" t="n">
        <v>-0.93</v>
      </c>
    </row>
    <row r="269" customFormat="false" ht="15" hidden="false" customHeight="false" outlineLevel="0" collapsed="false">
      <c r="A269" s="18" t="n">
        <v>67</v>
      </c>
      <c r="B269" s="18" t="s">
        <v>642</v>
      </c>
      <c r="C269" s="18" t="s">
        <v>522</v>
      </c>
      <c r="D269" s="18" t="s">
        <v>495</v>
      </c>
      <c r="E269" s="18" t="n">
        <v>1</v>
      </c>
      <c r="F269" s="18" t="n">
        <v>1</v>
      </c>
      <c r="G269" s="20" t="n">
        <v>0.0386</v>
      </c>
      <c r="H269" s="20" t="n">
        <v>0.0059</v>
      </c>
      <c r="I269" s="28" t="n">
        <v>189.9</v>
      </c>
      <c r="J269" s="28" t="n">
        <v>640.2</v>
      </c>
      <c r="K269" s="28" t="n">
        <v>128.5</v>
      </c>
      <c r="L269" s="29" t="n">
        <v>3.134</v>
      </c>
      <c r="M269" s="19" t="n">
        <v>1.101</v>
      </c>
      <c r="N269" s="28" t="n">
        <v>7.42</v>
      </c>
      <c r="O269" s="18" t="n">
        <v>33</v>
      </c>
      <c r="P269" s="18" t="n">
        <v>-1.25</v>
      </c>
      <c r="Q269" s="18" t="n">
        <v>-0.93</v>
      </c>
    </row>
    <row r="270" customFormat="false" ht="15" hidden="false" customHeight="false" outlineLevel="0" collapsed="false">
      <c r="A270" s="18" t="n">
        <v>68</v>
      </c>
      <c r="B270" s="18" t="s">
        <v>643</v>
      </c>
      <c r="C270" s="18" t="s">
        <v>497</v>
      </c>
      <c r="D270" s="18" t="s">
        <v>491</v>
      </c>
      <c r="E270" s="18" t="n">
        <v>0</v>
      </c>
      <c r="F270" s="18" t="n">
        <v>0</v>
      </c>
      <c r="G270" s="20" t="n">
        <v>-0.0374</v>
      </c>
      <c r="H270" s="20" t="n">
        <v>0.0089</v>
      </c>
      <c r="I270" s="28" t="n">
        <v>192.1</v>
      </c>
      <c r="J270" s="28" t="n">
        <v>532.9</v>
      </c>
      <c r="K270" s="28" t="n">
        <v>119.4</v>
      </c>
      <c r="L270" s="29" t="n">
        <v>0.434</v>
      </c>
      <c r="M270" s="19" t="n">
        <v>0.985</v>
      </c>
      <c r="N270" s="28" t="n">
        <v>6.12</v>
      </c>
      <c r="O270" s="18" t="n">
        <v>30</v>
      </c>
      <c r="P270" s="18" t="n">
        <v>-1.25</v>
      </c>
      <c r="Q270" s="18" t="n">
        <v>-0.93</v>
      </c>
    </row>
    <row r="271" customFormat="false" ht="15" hidden="false" customHeight="false" outlineLevel="0" collapsed="false">
      <c r="A271" s="18" t="n">
        <v>68</v>
      </c>
      <c r="B271" s="18" t="s">
        <v>643</v>
      </c>
      <c r="C271" s="18" t="s">
        <v>497</v>
      </c>
      <c r="D271" s="18" t="s">
        <v>492</v>
      </c>
      <c r="E271" s="18" t="n">
        <v>1</v>
      </c>
      <c r="F271" s="18" t="n">
        <v>0</v>
      </c>
      <c r="G271" s="20" t="n">
        <v>-0.0382</v>
      </c>
      <c r="H271" s="20" t="n">
        <v>0.0064</v>
      </c>
      <c r="I271" s="28" t="n">
        <v>185.9</v>
      </c>
      <c r="J271" s="28" t="n">
        <v>640.2</v>
      </c>
      <c r="K271" s="28" t="n">
        <v>119.8</v>
      </c>
      <c r="L271" s="29" t="n">
        <v>1.924</v>
      </c>
      <c r="M271" s="19" t="n">
        <v>0.593</v>
      </c>
      <c r="N271" s="28" t="n">
        <v>6.86</v>
      </c>
      <c r="O271" s="18" t="n">
        <v>30</v>
      </c>
      <c r="P271" s="18" t="n">
        <v>-1.25</v>
      </c>
      <c r="Q271" s="18" t="n">
        <v>-0.93</v>
      </c>
    </row>
    <row r="272" customFormat="false" ht="15" hidden="false" customHeight="false" outlineLevel="0" collapsed="false">
      <c r="A272" s="18" t="n">
        <v>68</v>
      </c>
      <c r="B272" s="18" t="s">
        <v>644</v>
      </c>
      <c r="C272" s="18" t="s">
        <v>497</v>
      </c>
      <c r="D272" s="18" t="s">
        <v>494</v>
      </c>
      <c r="E272" s="18" t="n">
        <v>0</v>
      </c>
      <c r="F272" s="18" t="n">
        <v>1</v>
      </c>
      <c r="G272" s="20" t="n">
        <v>0.056</v>
      </c>
      <c r="H272" s="20" t="n">
        <v>0.0087</v>
      </c>
      <c r="I272" s="28" t="n">
        <v>202.5</v>
      </c>
      <c r="J272" s="28" t="n">
        <v>531.1</v>
      </c>
      <c r="K272" s="28" t="n">
        <v>137.2</v>
      </c>
      <c r="L272" s="29" t="n">
        <v>3.847</v>
      </c>
      <c r="M272" s="19" t="n">
        <v>0.889</v>
      </c>
      <c r="N272" s="28" t="n">
        <v>7.91</v>
      </c>
      <c r="O272" s="18" t="n">
        <v>34</v>
      </c>
      <c r="P272" s="18" t="n">
        <v>-1.25</v>
      </c>
      <c r="Q272" s="18" t="n">
        <v>-0.93</v>
      </c>
    </row>
    <row r="273" customFormat="false" ht="15" hidden="false" customHeight="false" outlineLevel="0" collapsed="false">
      <c r="A273" s="18" t="n">
        <v>68</v>
      </c>
      <c r="B273" s="18" t="s">
        <v>644</v>
      </c>
      <c r="C273" s="18" t="s">
        <v>497</v>
      </c>
      <c r="D273" s="18" t="s">
        <v>495</v>
      </c>
      <c r="E273" s="18" t="n">
        <v>1</v>
      </c>
      <c r="F273" s="18" t="n">
        <v>1</v>
      </c>
      <c r="G273" s="20" t="n">
        <v>0.0395</v>
      </c>
      <c r="H273" s="20" t="n">
        <v>0.0094</v>
      </c>
      <c r="I273" s="28" t="n">
        <v>194.6</v>
      </c>
      <c r="J273" s="28" t="n">
        <v>639.4</v>
      </c>
      <c r="K273" s="28" t="n">
        <v>129.9</v>
      </c>
      <c r="L273" s="29" t="n">
        <v>1.721</v>
      </c>
      <c r="M273" s="19" t="n">
        <v>0.736</v>
      </c>
      <c r="N273" s="28" t="n">
        <v>6.87</v>
      </c>
      <c r="O273" s="18" t="n">
        <v>34</v>
      </c>
      <c r="P273" s="18" t="n">
        <v>-1.25</v>
      </c>
      <c r="Q273" s="18" t="n">
        <v>-0.93</v>
      </c>
    </row>
    <row r="274" customFormat="false" ht="15" hidden="false" customHeight="false" outlineLevel="0" collapsed="false">
      <c r="A274" s="18" t="n">
        <v>69</v>
      </c>
      <c r="B274" s="18" t="s">
        <v>645</v>
      </c>
      <c r="C274" s="18" t="s">
        <v>577</v>
      </c>
      <c r="D274" s="18" t="s">
        <v>491</v>
      </c>
      <c r="E274" s="18" t="n">
        <v>0</v>
      </c>
      <c r="F274" s="18" t="n">
        <v>0</v>
      </c>
      <c r="G274" s="20" t="n">
        <v>-0.0613</v>
      </c>
      <c r="H274" s="20" t="n">
        <v>0.0064</v>
      </c>
      <c r="I274" s="28" t="n">
        <v>205.8</v>
      </c>
      <c r="J274" s="28" t="n">
        <v>878.7</v>
      </c>
      <c r="K274" s="28" t="n">
        <v>154.7</v>
      </c>
      <c r="L274" s="29" t="n">
        <v>2.578</v>
      </c>
      <c r="M274" s="19" t="n">
        <v>1.05</v>
      </c>
      <c r="N274" s="28" t="n">
        <v>9.49</v>
      </c>
      <c r="O274" s="18" t="n">
        <v>35</v>
      </c>
      <c r="P274" s="18" t="n">
        <v>-1.5</v>
      </c>
      <c r="Q274" s="18" t="n">
        <v>-0.93</v>
      </c>
    </row>
    <row r="275" customFormat="false" ht="15" hidden="false" customHeight="false" outlineLevel="0" collapsed="false">
      <c r="A275" s="18" t="n">
        <v>69</v>
      </c>
      <c r="B275" s="18" t="s">
        <v>645</v>
      </c>
      <c r="C275" s="18" t="s">
        <v>577</v>
      </c>
      <c r="D275" s="18" t="s">
        <v>492</v>
      </c>
      <c r="E275" s="18" t="n">
        <v>1</v>
      </c>
      <c r="F275" s="18" t="n">
        <v>0</v>
      </c>
      <c r="G275" s="20" t="n">
        <v>-0.0547</v>
      </c>
      <c r="H275" s="20" t="n">
        <v>0.0065</v>
      </c>
      <c r="I275" s="28" t="n">
        <v>195.2</v>
      </c>
      <c r="J275" s="28" t="n">
        <v>992.4</v>
      </c>
      <c r="K275" s="28" t="n">
        <v>162</v>
      </c>
      <c r="L275" s="29" t="n">
        <v>2.532</v>
      </c>
      <c r="M275" s="19" t="n">
        <v>0.542</v>
      </c>
      <c r="N275" s="28" t="n">
        <v>8.17</v>
      </c>
      <c r="O275" s="18" t="n">
        <v>35</v>
      </c>
      <c r="P275" s="18" t="n">
        <v>-1.5</v>
      </c>
      <c r="Q275" s="18" t="n">
        <v>-0.93</v>
      </c>
    </row>
    <row r="276" customFormat="false" ht="15" hidden="false" customHeight="false" outlineLevel="0" collapsed="false">
      <c r="A276" s="18" t="n">
        <v>69</v>
      </c>
      <c r="B276" s="18" t="s">
        <v>646</v>
      </c>
      <c r="C276" s="18" t="s">
        <v>577</v>
      </c>
      <c r="D276" s="18" t="s">
        <v>494</v>
      </c>
      <c r="E276" s="18" t="n">
        <v>0</v>
      </c>
      <c r="F276" s="18" t="n">
        <v>1</v>
      </c>
      <c r="G276" s="20" t="n">
        <v>0.0663</v>
      </c>
      <c r="H276" s="20" t="n">
        <v>0.0075</v>
      </c>
      <c r="I276" s="28" t="n">
        <v>213</v>
      </c>
      <c r="J276" s="28" t="n">
        <v>878.1</v>
      </c>
      <c r="K276" s="28" t="n">
        <v>167.9</v>
      </c>
      <c r="L276" s="29" t="n">
        <v>1.604</v>
      </c>
      <c r="M276" s="19" t="n">
        <v>1.25</v>
      </c>
      <c r="N276" s="28" t="n">
        <v>7.54</v>
      </c>
      <c r="O276" s="18" t="n">
        <v>37</v>
      </c>
      <c r="P276" s="18" t="n">
        <v>-1.5</v>
      </c>
      <c r="Q276" s="18" t="n">
        <v>-0.93</v>
      </c>
    </row>
    <row r="277" customFormat="false" ht="15" hidden="false" customHeight="false" outlineLevel="0" collapsed="false">
      <c r="A277" s="18" t="n">
        <v>69</v>
      </c>
      <c r="B277" s="18" t="s">
        <v>646</v>
      </c>
      <c r="C277" s="18" t="s">
        <v>577</v>
      </c>
      <c r="D277" s="18" t="s">
        <v>495</v>
      </c>
      <c r="E277" s="18" t="n">
        <v>1</v>
      </c>
      <c r="F277" s="18" t="n">
        <v>1</v>
      </c>
      <c r="G277" s="20" t="n">
        <v>0.0746</v>
      </c>
      <c r="H277" s="20" t="n">
        <v>0.0063</v>
      </c>
      <c r="I277" s="28" t="n">
        <v>208.1</v>
      </c>
      <c r="J277" s="28" t="n">
        <v>989</v>
      </c>
      <c r="K277" s="28" t="n">
        <v>177.4</v>
      </c>
      <c r="L277" s="29" t="n">
        <v>2.453</v>
      </c>
      <c r="M277" s="19" t="n">
        <v>1.106</v>
      </c>
      <c r="N277" s="28" t="n">
        <v>7.57</v>
      </c>
      <c r="O277" s="18" t="n">
        <v>37</v>
      </c>
      <c r="P277" s="18" t="n">
        <v>-1.5</v>
      </c>
      <c r="Q277" s="18" t="n">
        <v>-0.93</v>
      </c>
    </row>
    <row r="278" customFormat="false" ht="15" hidden="false" customHeight="false" outlineLevel="0" collapsed="false">
      <c r="A278" s="18" t="n">
        <v>70</v>
      </c>
      <c r="B278" s="18" t="s">
        <v>647</v>
      </c>
      <c r="C278" s="18" t="s">
        <v>500</v>
      </c>
      <c r="D278" s="18" t="s">
        <v>491</v>
      </c>
      <c r="E278" s="18" t="n">
        <v>0</v>
      </c>
      <c r="F278" s="18" t="n">
        <v>0</v>
      </c>
      <c r="G278" s="20" t="n">
        <v>-0.0341</v>
      </c>
      <c r="H278" s="20" t="n">
        <v>0.0083</v>
      </c>
      <c r="I278" s="28" t="n">
        <v>196.2</v>
      </c>
      <c r="J278" s="28" t="n">
        <v>531.4</v>
      </c>
      <c r="K278" s="28" t="n">
        <v>136.9</v>
      </c>
      <c r="L278" s="29" t="n">
        <v>1.363</v>
      </c>
      <c r="M278" s="19" t="n">
        <v>1.1</v>
      </c>
      <c r="N278" s="28" t="n">
        <v>7.64</v>
      </c>
      <c r="O278" s="18" t="n">
        <v>33</v>
      </c>
      <c r="P278" s="18" t="n">
        <v>-1.25</v>
      </c>
      <c r="Q278" s="18" t="n">
        <v>-0.93</v>
      </c>
    </row>
    <row r="279" customFormat="false" ht="15" hidden="false" customHeight="false" outlineLevel="0" collapsed="false">
      <c r="A279" s="18" t="n">
        <v>70</v>
      </c>
      <c r="B279" s="18" t="s">
        <v>647</v>
      </c>
      <c r="C279" s="18" t="s">
        <v>500</v>
      </c>
      <c r="D279" s="18" t="s">
        <v>492</v>
      </c>
      <c r="E279" s="18" t="n">
        <v>1</v>
      </c>
      <c r="F279" s="18" t="n">
        <v>0</v>
      </c>
      <c r="G279" s="20" t="n">
        <v>-0.0411</v>
      </c>
      <c r="H279" s="20" t="n">
        <v>0.0079</v>
      </c>
      <c r="I279" s="28" t="n">
        <v>180.7</v>
      </c>
      <c r="J279" s="28" t="n">
        <v>638.9</v>
      </c>
      <c r="K279" s="28" t="n">
        <v>136.8</v>
      </c>
      <c r="L279" s="29" t="n">
        <v>4.399</v>
      </c>
      <c r="M279" s="19" t="n">
        <v>0.754</v>
      </c>
      <c r="N279" s="28" t="n">
        <v>7.39</v>
      </c>
      <c r="O279" s="18" t="n">
        <v>33</v>
      </c>
      <c r="P279" s="18" t="n">
        <v>-1.25</v>
      </c>
      <c r="Q279" s="18" t="n">
        <v>-0.93</v>
      </c>
    </row>
    <row r="280" customFormat="false" ht="15" hidden="false" customHeight="false" outlineLevel="0" collapsed="false">
      <c r="A280" s="18" t="n">
        <v>70</v>
      </c>
      <c r="B280" s="18" t="s">
        <v>648</v>
      </c>
      <c r="C280" s="18" t="s">
        <v>500</v>
      </c>
      <c r="D280" s="18" t="s">
        <v>494</v>
      </c>
      <c r="E280" s="18" t="n">
        <v>0</v>
      </c>
      <c r="F280" s="18" t="n">
        <v>1</v>
      </c>
      <c r="G280" s="20" t="n">
        <v>0.0433</v>
      </c>
      <c r="H280" s="20" t="n">
        <v>0.006</v>
      </c>
      <c r="I280" s="28" t="n">
        <v>184.5</v>
      </c>
      <c r="J280" s="28" t="n">
        <v>529.7</v>
      </c>
      <c r="K280" s="28" t="n">
        <v>127.3</v>
      </c>
      <c r="L280" s="29" t="n">
        <v>2.621</v>
      </c>
      <c r="M280" s="19" t="n">
        <v>1.19</v>
      </c>
      <c r="N280" s="28" t="n">
        <v>5.9</v>
      </c>
      <c r="O280" s="18" t="n">
        <v>32</v>
      </c>
      <c r="P280" s="18" t="n">
        <v>-1.25</v>
      </c>
      <c r="Q280" s="18" t="n">
        <v>-0.93</v>
      </c>
    </row>
    <row r="281" customFormat="false" ht="15" hidden="false" customHeight="false" outlineLevel="0" collapsed="false">
      <c r="A281" s="18" t="n">
        <v>70</v>
      </c>
      <c r="B281" s="18" t="s">
        <v>648</v>
      </c>
      <c r="C281" s="18" t="s">
        <v>500</v>
      </c>
      <c r="D281" s="18" t="s">
        <v>495</v>
      </c>
      <c r="E281" s="18" t="n">
        <v>1</v>
      </c>
      <c r="F281" s="18" t="n">
        <v>1</v>
      </c>
      <c r="G281" s="20" t="n">
        <v>0.0366</v>
      </c>
      <c r="H281" s="20" t="n">
        <v>0.0048</v>
      </c>
      <c r="I281" s="28" t="n">
        <v>183.8</v>
      </c>
      <c r="J281" s="28" t="n">
        <v>637</v>
      </c>
      <c r="K281" s="28" t="n">
        <v>136.4</v>
      </c>
      <c r="L281" s="29" t="n">
        <v>1.634</v>
      </c>
      <c r="M281" s="19" t="n">
        <v>0.938</v>
      </c>
      <c r="N281" s="28" t="n">
        <v>6.87</v>
      </c>
      <c r="O281" s="18" t="n">
        <v>32</v>
      </c>
      <c r="P281" s="18" t="n">
        <v>-1.25</v>
      </c>
      <c r="Q281" s="18" t="n">
        <v>-0.93</v>
      </c>
    </row>
    <row r="282" customFormat="false" ht="15" hidden="false" customHeight="false" outlineLevel="0" collapsed="false">
      <c r="A282" s="18" t="n">
        <v>71</v>
      </c>
      <c r="B282" s="18" t="s">
        <v>649</v>
      </c>
      <c r="C282" s="18" t="s">
        <v>522</v>
      </c>
      <c r="D282" s="18" t="s">
        <v>491</v>
      </c>
      <c r="E282" s="18" t="n">
        <v>0</v>
      </c>
      <c r="F282" s="18" t="n">
        <v>0</v>
      </c>
      <c r="G282" s="20" t="n">
        <v>-0.0529</v>
      </c>
      <c r="H282" s="20" t="n">
        <v>0.0064</v>
      </c>
      <c r="I282" s="28" t="n">
        <v>180.8</v>
      </c>
      <c r="J282" s="28" t="n">
        <v>531</v>
      </c>
      <c r="K282" s="28" t="n">
        <v>127.6</v>
      </c>
      <c r="L282" s="29" t="n">
        <v>1.043</v>
      </c>
      <c r="M282" s="19" t="n">
        <v>1.403</v>
      </c>
      <c r="N282" s="28" t="n">
        <v>9.07</v>
      </c>
      <c r="O282" s="18" t="n">
        <v>32</v>
      </c>
      <c r="P282" s="18" t="n">
        <v>-1.25</v>
      </c>
      <c r="Q282" s="18" t="n">
        <v>-0.93</v>
      </c>
    </row>
    <row r="283" customFormat="false" ht="15" hidden="false" customHeight="false" outlineLevel="0" collapsed="false">
      <c r="A283" s="18" t="n">
        <v>71</v>
      </c>
      <c r="B283" s="18" t="s">
        <v>649</v>
      </c>
      <c r="C283" s="18" t="s">
        <v>522</v>
      </c>
      <c r="D283" s="18" t="s">
        <v>492</v>
      </c>
      <c r="E283" s="18" t="n">
        <v>1</v>
      </c>
      <c r="F283" s="18" t="n">
        <v>0</v>
      </c>
      <c r="G283" s="20" t="n">
        <v>-0.0558</v>
      </c>
      <c r="H283" s="20" t="n">
        <v>0.0059</v>
      </c>
      <c r="I283" s="28" t="n">
        <v>193.2</v>
      </c>
      <c r="J283" s="28" t="n">
        <v>636.2</v>
      </c>
      <c r="K283" s="28" t="n">
        <v>132.2</v>
      </c>
      <c r="L283" s="18"/>
      <c r="M283" s="19" t="n">
        <v>0.388</v>
      </c>
      <c r="N283" s="28" t="n">
        <v>8.15</v>
      </c>
      <c r="O283" s="18" t="n">
        <v>32</v>
      </c>
      <c r="P283" s="18" t="n">
        <v>-1.25</v>
      </c>
      <c r="Q283" s="18" t="n">
        <v>-0.93</v>
      </c>
    </row>
    <row r="284" customFormat="false" ht="15" hidden="false" customHeight="false" outlineLevel="0" collapsed="false">
      <c r="A284" s="18" t="n">
        <v>71</v>
      </c>
      <c r="B284" s="18" t="s">
        <v>650</v>
      </c>
      <c r="C284" s="18" t="s">
        <v>522</v>
      </c>
      <c r="D284" s="18" t="s">
        <v>494</v>
      </c>
      <c r="E284" s="18" t="n">
        <v>0</v>
      </c>
      <c r="F284" s="18" t="n">
        <v>1</v>
      </c>
      <c r="G284" s="20" t="n">
        <v>0.0386</v>
      </c>
      <c r="H284" s="20" t="n">
        <v>0.0047</v>
      </c>
      <c r="I284" s="28" t="n">
        <v>185.1</v>
      </c>
      <c r="J284" s="28" t="n">
        <v>531.4</v>
      </c>
      <c r="K284" s="28" t="n">
        <v>96.3</v>
      </c>
      <c r="L284" s="18"/>
      <c r="M284" s="19" t="n">
        <v>1.164</v>
      </c>
      <c r="N284" s="28" t="n">
        <v>7.41</v>
      </c>
      <c r="O284" s="18" t="n">
        <v>30</v>
      </c>
      <c r="P284" s="18" t="n">
        <v>-1.25</v>
      </c>
      <c r="Q284" s="18" t="n">
        <v>-0.93</v>
      </c>
    </row>
    <row r="285" customFormat="false" ht="15" hidden="false" customHeight="false" outlineLevel="0" collapsed="false">
      <c r="A285" s="18" t="n">
        <v>71</v>
      </c>
      <c r="B285" s="18" t="s">
        <v>650</v>
      </c>
      <c r="C285" s="18" t="s">
        <v>522</v>
      </c>
      <c r="D285" s="18" t="s">
        <v>495</v>
      </c>
      <c r="E285" s="18" t="n">
        <v>1</v>
      </c>
      <c r="F285" s="18" t="n">
        <v>1</v>
      </c>
      <c r="G285" s="20" t="n">
        <v>0.0293</v>
      </c>
      <c r="H285" s="20" t="n">
        <v>0.0053</v>
      </c>
      <c r="I285" s="28" t="n">
        <v>192.2</v>
      </c>
      <c r="J285" s="28" t="n">
        <v>636.2</v>
      </c>
      <c r="K285" s="28" t="n">
        <v>97.8</v>
      </c>
      <c r="L285" s="29" t="n">
        <v>2.088</v>
      </c>
      <c r="M285" s="19" t="n">
        <v>1.435</v>
      </c>
      <c r="N285" s="28" t="n">
        <v>6.08</v>
      </c>
      <c r="O285" s="18" t="n">
        <v>30</v>
      </c>
      <c r="P285" s="18" t="n">
        <v>-1.25</v>
      </c>
      <c r="Q285" s="18" t="n">
        <v>-0.93</v>
      </c>
    </row>
    <row r="286" customFormat="false" ht="15" hidden="false" customHeight="false" outlineLevel="0" collapsed="false">
      <c r="A286" s="18" t="n">
        <v>72</v>
      </c>
      <c r="B286" s="18" t="s">
        <v>651</v>
      </c>
      <c r="C286" s="18" t="s">
        <v>500</v>
      </c>
      <c r="D286" s="18" t="s">
        <v>491</v>
      </c>
      <c r="E286" s="18" t="n">
        <v>0</v>
      </c>
      <c r="F286" s="18" t="n">
        <v>0</v>
      </c>
      <c r="G286" s="20" t="n">
        <v>-0.0467</v>
      </c>
      <c r="H286" s="20" t="n">
        <v>0.0037</v>
      </c>
      <c r="I286" s="28" t="n">
        <v>192.3</v>
      </c>
      <c r="J286" s="28" t="n">
        <v>529</v>
      </c>
      <c r="K286" s="28" t="n">
        <v>151.3</v>
      </c>
      <c r="L286" s="29" t="n">
        <v>2.927</v>
      </c>
      <c r="M286" s="19" t="n">
        <v>0.839</v>
      </c>
      <c r="N286" s="28" t="n">
        <v>6.87</v>
      </c>
      <c r="O286" s="18" t="n">
        <v>36</v>
      </c>
      <c r="P286" s="18" t="n">
        <v>-1.25</v>
      </c>
      <c r="Q286" s="18" t="n">
        <v>-0.93</v>
      </c>
    </row>
    <row r="287" customFormat="false" ht="15" hidden="false" customHeight="false" outlineLevel="0" collapsed="false">
      <c r="A287" s="18" t="n">
        <v>72</v>
      </c>
      <c r="B287" s="18" t="s">
        <v>651</v>
      </c>
      <c r="C287" s="18" t="s">
        <v>500</v>
      </c>
      <c r="D287" s="18" t="s">
        <v>492</v>
      </c>
      <c r="E287" s="18" t="n">
        <v>1</v>
      </c>
      <c r="F287" s="18" t="n">
        <v>0</v>
      </c>
      <c r="G287" s="20" t="n">
        <v>-0.0401</v>
      </c>
      <c r="H287" s="20" t="n">
        <v>0.0054</v>
      </c>
      <c r="I287" s="28" t="n">
        <v>181.6</v>
      </c>
      <c r="J287" s="28" t="n">
        <v>636.9</v>
      </c>
      <c r="K287" s="28" t="n">
        <v>148.8</v>
      </c>
      <c r="L287" s="29" t="n">
        <v>1.264</v>
      </c>
      <c r="M287" s="19" t="n">
        <v>0.602</v>
      </c>
      <c r="N287" s="28" t="n">
        <v>6.75</v>
      </c>
      <c r="O287" s="18" t="n">
        <v>36</v>
      </c>
      <c r="P287" s="18" t="n">
        <v>-1.25</v>
      </c>
      <c r="Q287" s="18" t="n">
        <v>-0.93</v>
      </c>
    </row>
    <row r="288" customFormat="false" ht="15" hidden="false" customHeight="false" outlineLevel="0" collapsed="false">
      <c r="A288" s="18" t="n">
        <v>72</v>
      </c>
      <c r="B288" s="18" t="s">
        <v>652</v>
      </c>
      <c r="C288" s="18" t="s">
        <v>500</v>
      </c>
      <c r="D288" s="18" t="s">
        <v>494</v>
      </c>
      <c r="E288" s="18" t="n">
        <v>0</v>
      </c>
      <c r="F288" s="18" t="n">
        <v>1</v>
      </c>
      <c r="G288" s="20" t="n">
        <v>0.0456</v>
      </c>
      <c r="H288" s="20" t="n">
        <v>0.0046</v>
      </c>
      <c r="I288" s="28" t="n">
        <v>176.6</v>
      </c>
      <c r="J288" s="28" t="n">
        <v>531.3</v>
      </c>
      <c r="K288" s="28" t="n">
        <v>148.7</v>
      </c>
      <c r="L288" s="29" t="n">
        <v>1.906</v>
      </c>
      <c r="M288" s="19" t="n">
        <v>1.279</v>
      </c>
      <c r="N288" s="28" t="n">
        <v>6.23</v>
      </c>
      <c r="O288" s="18" t="n">
        <v>36</v>
      </c>
      <c r="P288" s="18" t="n">
        <v>-1.25</v>
      </c>
      <c r="Q288" s="18" t="n">
        <v>-0.93</v>
      </c>
    </row>
    <row r="289" customFormat="false" ht="15" hidden="false" customHeight="false" outlineLevel="0" collapsed="false">
      <c r="A289" s="18" t="n">
        <v>72</v>
      </c>
      <c r="B289" s="18" t="s">
        <v>652</v>
      </c>
      <c r="C289" s="18" t="s">
        <v>500</v>
      </c>
      <c r="D289" s="18" t="s">
        <v>495</v>
      </c>
      <c r="E289" s="18" t="n">
        <v>1</v>
      </c>
      <c r="F289" s="18" t="n">
        <v>1</v>
      </c>
      <c r="G289" s="20" t="n">
        <v>0.0421</v>
      </c>
      <c r="H289" s="20" t="n">
        <v>0.0077</v>
      </c>
      <c r="I289" s="28" t="n">
        <v>184.1</v>
      </c>
      <c r="J289" s="28" t="n">
        <v>638</v>
      </c>
      <c r="K289" s="28" t="n">
        <v>147</v>
      </c>
      <c r="L289" s="29" t="n">
        <v>0.263</v>
      </c>
      <c r="M289" s="19" t="n">
        <v>0.794</v>
      </c>
      <c r="N289" s="28" t="n">
        <v>6.57</v>
      </c>
      <c r="O289" s="18" t="n">
        <v>36</v>
      </c>
      <c r="P289" s="18" t="n">
        <v>-1.25</v>
      </c>
      <c r="Q289" s="18" t="n">
        <v>-0.93</v>
      </c>
    </row>
    <row r="290" customFormat="false" ht="15" hidden="false" customHeight="false" outlineLevel="0" collapsed="false">
      <c r="A290" s="18" t="n">
        <v>73</v>
      </c>
      <c r="B290" s="18" t="s">
        <v>653</v>
      </c>
      <c r="C290" s="18" t="s">
        <v>637</v>
      </c>
      <c r="D290" s="18" t="s">
        <v>491</v>
      </c>
      <c r="E290" s="18" t="n">
        <v>0</v>
      </c>
      <c r="F290" s="18" t="n">
        <v>0</v>
      </c>
      <c r="G290" s="20" t="n">
        <v>-0.0579</v>
      </c>
      <c r="H290" s="20" t="n">
        <v>0.0114</v>
      </c>
      <c r="I290" s="28" t="n">
        <v>201.2</v>
      </c>
      <c r="J290" s="28" t="n">
        <v>879.6</v>
      </c>
      <c r="K290" s="28" t="n">
        <v>122.8</v>
      </c>
      <c r="L290" s="29" t="n">
        <v>0.403</v>
      </c>
      <c r="M290" s="19" t="n">
        <v>1.451</v>
      </c>
      <c r="N290" s="28" t="n">
        <v>8.53</v>
      </c>
      <c r="O290" s="18" t="n">
        <v>31</v>
      </c>
      <c r="P290" s="18" t="n">
        <v>-1.5</v>
      </c>
      <c r="Q290" s="18" t="n">
        <v>-0.93</v>
      </c>
    </row>
    <row r="291" customFormat="false" ht="15" hidden="false" customHeight="false" outlineLevel="0" collapsed="false">
      <c r="A291" s="18" t="n">
        <v>73</v>
      </c>
      <c r="B291" s="18" t="s">
        <v>653</v>
      </c>
      <c r="C291" s="18" t="s">
        <v>637</v>
      </c>
      <c r="D291" s="18" t="s">
        <v>492</v>
      </c>
      <c r="E291" s="18" t="n">
        <v>1</v>
      </c>
      <c r="F291" s="18" t="n">
        <v>0</v>
      </c>
      <c r="G291" s="20" t="n">
        <v>-0.0507</v>
      </c>
      <c r="H291" s="20" t="n">
        <v>0.009</v>
      </c>
      <c r="I291" s="28" t="n">
        <v>201.2</v>
      </c>
      <c r="J291" s="28" t="n">
        <v>989.4</v>
      </c>
      <c r="K291" s="28" t="n">
        <v>120.6</v>
      </c>
      <c r="L291" s="18"/>
      <c r="M291" s="19" t="n">
        <v>1.622</v>
      </c>
      <c r="N291" s="28" t="n">
        <v>8.9</v>
      </c>
      <c r="O291" s="18" t="n">
        <v>31</v>
      </c>
      <c r="P291" s="18" t="n">
        <v>-1.5</v>
      </c>
      <c r="Q291" s="18" t="n">
        <v>-0.93</v>
      </c>
    </row>
    <row r="292" customFormat="false" ht="15" hidden="false" customHeight="false" outlineLevel="0" collapsed="false">
      <c r="A292" s="18" t="n">
        <v>73</v>
      </c>
      <c r="B292" s="18" t="s">
        <v>654</v>
      </c>
      <c r="C292" s="18" t="s">
        <v>637</v>
      </c>
      <c r="D292" s="18" t="s">
        <v>494</v>
      </c>
      <c r="E292" s="18" t="n">
        <v>0</v>
      </c>
      <c r="F292" s="18" t="n">
        <v>1</v>
      </c>
      <c r="G292" s="20" t="n">
        <v>0.0693</v>
      </c>
      <c r="H292" s="20" t="n">
        <v>0.0056</v>
      </c>
      <c r="I292" s="28" t="n">
        <v>220.2</v>
      </c>
      <c r="J292" s="28" t="n">
        <v>875.4</v>
      </c>
      <c r="K292" s="28" t="n">
        <v>134.3</v>
      </c>
      <c r="L292" s="29" t="n">
        <v>0.603</v>
      </c>
      <c r="M292" s="19" t="n">
        <v>1.103</v>
      </c>
      <c r="N292" s="28" t="n">
        <v>9.45</v>
      </c>
      <c r="O292" s="18" t="n">
        <v>33</v>
      </c>
      <c r="P292" s="18" t="n">
        <v>-1.5</v>
      </c>
      <c r="Q292" s="18" t="n">
        <v>-0.93</v>
      </c>
    </row>
    <row r="293" customFormat="false" ht="15" hidden="false" customHeight="false" outlineLevel="0" collapsed="false">
      <c r="A293" s="18" t="n">
        <v>73</v>
      </c>
      <c r="B293" s="18" t="s">
        <v>654</v>
      </c>
      <c r="C293" s="18" t="s">
        <v>637</v>
      </c>
      <c r="D293" s="18" t="s">
        <v>495</v>
      </c>
      <c r="E293" s="18" t="n">
        <v>1</v>
      </c>
      <c r="F293" s="18" t="n">
        <v>1</v>
      </c>
      <c r="G293" s="20" t="n">
        <v>0.0608</v>
      </c>
      <c r="H293" s="20" t="n">
        <v>0.0062</v>
      </c>
      <c r="I293" s="28" t="n">
        <v>210</v>
      </c>
      <c r="J293" s="28" t="n">
        <v>986.9</v>
      </c>
      <c r="K293" s="28" t="n">
        <v>137.4</v>
      </c>
      <c r="L293" s="29" t="n">
        <v>1.566</v>
      </c>
      <c r="M293" s="19" t="n">
        <v>1.207</v>
      </c>
      <c r="N293" s="28" t="n">
        <v>7.25</v>
      </c>
      <c r="O293" s="18" t="n">
        <v>33</v>
      </c>
      <c r="P293" s="18" t="n">
        <v>-1.5</v>
      </c>
      <c r="Q293" s="18" t="n">
        <v>-0.93</v>
      </c>
    </row>
    <row r="294" customFormat="false" ht="15" hidden="false" customHeight="false" outlineLevel="0" collapsed="false">
      <c r="A294" s="18" t="n">
        <v>74</v>
      </c>
      <c r="B294" s="18" t="s">
        <v>655</v>
      </c>
      <c r="C294" s="18" t="s">
        <v>497</v>
      </c>
      <c r="D294" s="18" t="s">
        <v>491</v>
      </c>
      <c r="E294" s="18" t="n">
        <v>0</v>
      </c>
      <c r="F294" s="18" t="n">
        <v>0</v>
      </c>
      <c r="G294" s="20" t="n">
        <v>-0.0509</v>
      </c>
      <c r="H294" s="20" t="n">
        <v>0.0056</v>
      </c>
      <c r="I294" s="28" t="n">
        <v>191.2</v>
      </c>
      <c r="J294" s="28" t="n">
        <v>531.2</v>
      </c>
      <c r="K294" s="28" t="n">
        <v>171.5</v>
      </c>
      <c r="L294" s="18"/>
      <c r="M294" s="19" t="n">
        <v>0.747</v>
      </c>
      <c r="N294" s="28" t="n">
        <v>7.98</v>
      </c>
      <c r="O294" s="18" t="n">
        <v>37</v>
      </c>
      <c r="P294" s="18" t="n">
        <v>-1.25</v>
      </c>
      <c r="Q294" s="18" t="n">
        <v>-0.93</v>
      </c>
    </row>
    <row r="295" customFormat="false" ht="15" hidden="false" customHeight="false" outlineLevel="0" collapsed="false">
      <c r="A295" s="18" t="n">
        <v>74</v>
      </c>
      <c r="B295" s="18" t="s">
        <v>655</v>
      </c>
      <c r="C295" s="18" t="s">
        <v>497</v>
      </c>
      <c r="D295" s="18" t="s">
        <v>492</v>
      </c>
      <c r="E295" s="18" t="n">
        <v>1</v>
      </c>
      <c r="F295" s="18" t="n">
        <v>0</v>
      </c>
      <c r="G295" s="20" t="n">
        <v>-0.0505</v>
      </c>
      <c r="H295" s="20" t="n">
        <v>0.0066</v>
      </c>
      <c r="I295" s="28" t="n">
        <v>180.4</v>
      </c>
      <c r="J295" s="28" t="n">
        <v>638.1</v>
      </c>
      <c r="K295" s="28" t="n">
        <v>156.2</v>
      </c>
      <c r="L295" s="29" t="n">
        <v>1.991</v>
      </c>
      <c r="M295" s="19" t="n">
        <v>0.671</v>
      </c>
      <c r="N295" s="28" t="n">
        <v>6.92</v>
      </c>
      <c r="O295" s="18" t="n">
        <v>37</v>
      </c>
      <c r="P295" s="18" t="n">
        <v>-1.25</v>
      </c>
      <c r="Q295" s="18" t="n">
        <v>-0.93</v>
      </c>
    </row>
    <row r="296" customFormat="false" ht="15" hidden="false" customHeight="false" outlineLevel="0" collapsed="false">
      <c r="A296" s="18" t="n">
        <v>74</v>
      </c>
      <c r="B296" s="18" t="s">
        <v>656</v>
      </c>
      <c r="C296" s="18" t="s">
        <v>497</v>
      </c>
      <c r="D296" s="18" t="s">
        <v>494</v>
      </c>
      <c r="E296" s="18" t="n">
        <v>0</v>
      </c>
      <c r="F296" s="18" t="n">
        <v>1</v>
      </c>
      <c r="G296" s="20" t="n">
        <v>0.0414</v>
      </c>
      <c r="H296" s="20" t="n">
        <v>0.0059</v>
      </c>
      <c r="I296" s="28" t="n">
        <v>196.6</v>
      </c>
      <c r="J296" s="28" t="n">
        <v>527.7</v>
      </c>
      <c r="K296" s="28" t="n">
        <v>150.9</v>
      </c>
      <c r="L296" s="29" t="n">
        <v>1.976</v>
      </c>
      <c r="M296" s="19" t="n">
        <v>0.726</v>
      </c>
      <c r="N296" s="28" t="n">
        <v>6.34</v>
      </c>
      <c r="O296" s="18" t="n">
        <v>36</v>
      </c>
      <c r="P296" s="18" t="n">
        <v>-1.25</v>
      </c>
      <c r="Q296" s="18" t="n">
        <v>-0.93</v>
      </c>
    </row>
    <row r="297" customFormat="false" ht="15" hidden="false" customHeight="false" outlineLevel="0" collapsed="false">
      <c r="A297" s="18" t="n">
        <v>74</v>
      </c>
      <c r="B297" s="18" t="s">
        <v>656</v>
      </c>
      <c r="C297" s="18" t="s">
        <v>497</v>
      </c>
      <c r="D297" s="18" t="s">
        <v>495</v>
      </c>
      <c r="E297" s="18" t="n">
        <v>1</v>
      </c>
      <c r="F297" s="18" t="n">
        <v>1</v>
      </c>
      <c r="G297" s="20" t="n">
        <v>0.0427</v>
      </c>
      <c r="H297" s="20" t="n">
        <v>0.0078</v>
      </c>
      <c r="I297" s="28" t="n">
        <v>179.6</v>
      </c>
      <c r="J297" s="28" t="n">
        <v>634.6</v>
      </c>
      <c r="K297" s="28" t="n">
        <v>152.4</v>
      </c>
      <c r="L297" s="29" t="n">
        <v>1.868</v>
      </c>
      <c r="M297" s="19" t="n">
        <v>1.632</v>
      </c>
      <c r="N297" s="28" t="n">
        <v>7.04</v>
      </c>
      <c r="O297" s="18" t="n">
        <v>36</v>
      </c>
      <c r="P297" s="18" t="n">
        <v>-1.25</v>
      </c>
      <c r="Q297" s="18" t="n">
        <v>-0.93</v>
      </c>
    </row>
    <row r="298" customFormat="false" ht="15" hidden="false" customHeight="false" outlineLevel="0" collapsed="false">
      <c r="A298" s="18" t="n">
        <v>75</v>
      </c>
      <c r="B298" s="18" t="s">
        <v>657</v>
      </c>
      <c r="C298" s="18" t="s">
        <v>500</v>
      </c>
      <c r="D298" s="18" t="s">
        <v>491</v>
      </c>
      <c r="E298" s="18" t="n">
        <v>0</v>
      </c>
      <c r="F298" s="18" t="n">
        <v>0</v>
      </c>
      <c r="G298" s="20" t="n">
        <v>-0.0317</v>
      </c>
      <c r="H298" s="20" t="n">
        <v>0.0089</v>
      </c>
      <c r="I298" s="28" t="n">
        <v>194.4</v>
      </c>
      <c r="J298" s="28" t="n">
        <v>529.8</v>
      </c>
      <c r="K298" s="28" t="n">
        <v>163.8</v>
      </c>
      <c r="L298" s="29" t="n">
        <v>3.105</v>
      </c>
      <c r="M298" s="19" t="n">
        <v>0.617</v>
      </c>
      <c r="N298" s="28" t="n">
        <v>7.56</v>
      </c>
      <c r="O298" s="18" t="n">
        <v>33</v>
      </c>
      <c r="P298" s="18" t="n">
        <v>-1.25</v>
      </c>
      <c r="Q298" s="18" t="n">
        <v>-0.93</v>
      </c>
    </row>
    <row r="299" customFormat="false" ht="15" hidden="false" customHeight="false" outlineLevel="0" collapsed="false">
      <c r="A299" s="18" t="n">
        <v>75</v>
      </c>
      <c r="B299" s="18" t="s">
        <v>657</v>
      </c>
      <c r="C299" s="18" t="s">
        <v>500</v>
      </c>
      <c r="D299" s="18" t="s">
        <v>492</v>
      </c>
      <c r="E299" s="18" t="n">
        <v>1</v>
      </c>
      <c r="F299" s="18" t="n">
        <v>0</v>
      </c>
      <c r="G299" s="20" t="n">
        <v>-0.0479</v>
      </c>
      <c r="H299" s="20" t="n">
        <v>0.0099</v>
      </c>
      <c r="I299" s="28" t="n">
        <v>177.1</v>
      </c>
      <c r="J299" s="28" t="n">
        <v>636</v>
      </c>
      <c r="K299" s="28" t="n">
        <v>158.7</v>
      </c>
      <c r="L299" s="29" t="n">
        <v>2.273</v>
      </c>
      <c r="M299" s="19" t="n">
        <v>1.259</v>
      </c>
      <c r="N299" s="28" t="n">
        <v>6.51</v>
      </c>
      <c r="O299" s="18" t="n">
        <v>33</v>
      </c>
      <c r="P299" s="18" t="n">
        <v>-1.25</v>
      </c>
      <c r="Q299" s="18" t="n">
        <v>-0.93</v>
      </c>
    </row>
    <row r="300" customFormat="false" ht="15" hidden="false" customHeight="false" outlineLevel="0" collapsed="false">
      <c r="A300" s="18" t="n">
        <v>75</v>
      </c>
      <c r="B300" s="18" t="s">
        <v>658</v>
      </c>
      <c r="C300" s="18" t="s">
        <v>500</v>
      </c>
      <c r="D300" s="18" t="s">
        <v>494</v>
      </c>
      <c r="E300" s="18" t="n">
        <v>0</v>
      </c>
      <c r="F300" s="18" t="n">
        <v>1</v>
      </c>
      <c r="G300" s="20" t="n">
        <v>0.0481</v>
      </c>
      <c r="H300" s="20" t="n">
        <v>0.0064</v>
      </c>
      <c r="I300" s="28" t="n">
        <v>192.4</v>
      </c>
      <c r="J300" s="28" t="n">
        <v>530.8</v>
      </c>
      <c r="K300" s="28" t="n">
        <v>101.2</v>
      </c>
      <c r="L300" s="29" t="n">
        <v>3.582</v>
      </c>
      <c r="M300" s="19" t="n">
        <v>0.934</v>
      </c>
      <c r="N300" s="28" t="n">
        <v>8.37</v>
      </c>
      <c r="O300" s="18" t="n">
        <v>30</v>
      </c>
      <c r="P300" s="18" t="n">
        <v>-1.25</v>
      </c>
      <c r="Q300" s="18" t="n">
        <v>-0.93</v>
      </c>
    </row>
    <row r="301" customFormat="false" ht="15" hidden="false" customHeight="false" outlineLevel="0" collapsed="false">
      <c r="A301" s="18" t="n">
        <v>75</v>
      </c>
      <c r="B301" s="18" t="s">
        <v>658</v>
      </c>
      <c r="C301" s="18" t="s">
        <v>500</v>
      </c>
      <c r="D301" s="18" t="s">
        <v>495</v>
      </c>
      <c r="E301" s="18" t="n">
        <v>1</v>
      </c>
      <c r="F301" s="18" t="n">
        <v>1</v>
      </c>
      <c r="G301" s="20" t="n">
        <v>0.0313</v>
      </c>
      <c r="H301" s="20" t="n">
        <v>0.0063</v>
      </c>
      <c r="I301" s="28" t="n">
        <v>198.3</v>
      </c>
      <c r="J301" s="28" t="n">
        <v>633.6</v>
      </c>
      <c r="K301" s="28" t="n">
        <v>101.4</v>
      </c>
      <c r="L301" s="29" t="n">
        <v>3.899</v>
      </c>
      <c r="M301" s="19" t="n">
        <v>0.817</v>
      </c>
      <c r="N301" s="28" t="n">
        <v>6.5</v>
      </c>
      <c r="O301" s="18" t="n">
        <v>30</v>
      </c>
      <c r="P301" s="18" t="n">
        <v>-1.25</v>
      </c>
      <c r="Q301" s="18" t="n">
        <v>-0.93</v>
      </c>
    </row>
    <row r="302" customFormat="false" ht="15" hidden="false" customHeight="false" outlineLevel="0" collapsed="false">
      <c r="A302" s="18" t="n">
        <v>76</v>
      </c>
      <c r="B302" s="18" t="s">
        <v>659</v>
      </c>
      <c r="C302" s="18" t="s">
        <v>497</v>
      </c>
      <c r="D302" s="18" t="s">
        <v>491</v>
      </c>
      <c r="E302" s="18" t="n">
        <v>0</v>
      </c>
      <c r="F302" s="18" t="n">
        <v>0</v>
      </c>
      <c r="G302" s="20" t="n">
        <v>-0.0462</v>
      </c>
      <c r="H302" s="20" t="n">
        <v>0.0059</v>
      </c>
      <c r="I302" s="28" t="n">
        <v>177.9</v>
      </c>
      <c r="J302" s="28" t="n">
        <v>533.8</v>
      </c>
      <c r="K302" s="28" t="n">
        <v>103.9</v>
      </c>
      <c r="L302" s="18"/>
      <c r="M302" s="19" t="n">
        <v>1.202</v>
      </c>
      <c r="N302" s="28" t="n">
        <v>6.4</v>
      </c>
      <c r="O302" s="18" t="n">
        <v>29</v>
      </c>
      <c r="P302" s="18" t="n">
        <v>-1.25</v>
      </c>
      <c r="Q302" s="18" t="n">
        <v>-0.93</v>
      </c>
    </row>
    <row r="303" customFormat="false" ht="15" hidden="false" customHeight="false" outlineLevel="0" collapsed="false">
      <c r="A303" s="18" t="n">
        <v>76</v>
      </c>
      <c r="B303" s="18" t="s">
        <v>659</v>
      </c>
      <c r="C303" s="18" t="s">
        <v>497</v>
      </c>
      <c r="D303" s="18" t="s">
        <v>492</v>
      </c>
      <c r="E303" s="18" t="n">
        <v>1</v>
      </c>
      <c r="F303" s="18" t="n">
        <v>0</v>
      </c>
      <c r="G303" s="20" t="n">
        <v>-0.0537</v>
      </c>
      <c r="H303" s="20" t="n">
        <v>0.0057</v>
      </c>
      <c r="I303" s="28" t="n">
        <v>183.1</v>
      </c>
      <c r="J303" s="28" t="n">
        <v>638.1</v>
      </c>
      <c r="K303" s="28" t="n">
        <v>103.9</v>
      </c>
      <c r="L303" s="18"/>
      <c r="M303" s="19" t="n">
        <v>0.864</v>
      </c>
      <c r="N303" s="28" t="n">
        <v>6.63</v>
      </c>
      <c r="O303" s="18" t="n">
        <v>29</v>
      </c>
      <c r="P303" s="18" t="n">
        <v>-1.25</v>
      </c>
      <c r="Q303" s="18" t="n">
        <v>-0.93</v>
      </c>
    </row>
    <row r="304" customFormat="false" ht="15" hidden="false" customHeight="false" outlineLevel="0" collapsed="false">
      <c r="A304" s="18" t="n">
        <v>76</v>
      </c>
      <c r="B304" s="18" t="s">
        <v>660</v>
      </c>
      <c r="C304" s="18" t="s">
        <v>497</v>
      </c>
      <c r="D304" s="18" t="s">
        <v>494</v>
      </c>
      <c r="E304" s="18" t="n">
        <v>0</v>
      </c>
      <c r="F304" s="18" t="n">
        <v>1</v>
      </c>
      <c r="G304" s="20" t="n">
        <v>0.0474</v>
      </c>
      <c r="H304" s="20" t="n">
        <v>0.0053</v>
      </c>
      <c r="I304" s="28" t="n">
        <v>184.2</v>
      </c>
      <c r="J304" s="28" t="n">
        <v>531.1</v>
      </c>
      <c r="K304" s="28" t="n">
        <v>113.9</v>
      </c>
      <c r="L304" s="29" t="n">
        <v>1.923</v>
      </c>
      <c r="M304" s="19" t="n">
        <v>1.827</v>
      </c>
      <c r="N304" s="28" t="n">
        <v>6.98</v>
      </c>
      <c r="O304" s="18" t="n">
        <v>31</v>
      </c>
      <c r="P304" s="18" t="n">
        <v>-1.25</v>
      </c>
      <c r="Q304" s="18" t="n">
        <v>-0.93</v>
      </c>
    </row>
    <row r="305" customFormat="false" ht="15" hidden="false" customHeight="false" outlineLevel="0" collapsed="false">
      <c r="A305" s="18" t="n">
        <v>76</v>
      </c>
      <c r="B305" s="18" t="s">
        <v>660</v>
      </c>
      <c r="C305" s="18" t="s">
        <v>497</v>
      </c>
      <c r="D305" s="18" t="s">
        <v>495</v>
      </c>
      <c r="E305" s="18" t="n">
        <v>1</v>
      </c>
      <c r="F305" s="18" t="n">
        <v>1</v>
      </c>
      <c r="G305" s="20" t="n">
        <v>0.041</v>
      </c>
      <c r="H305" s="20" t="n">
        <v>0.0049</v>
      </c>
      <c r="I305" s="28" t="n">
        <v>189</v>
      </c>
      <c r="J305" s="28" t="n">
        <v>636.1</v>
      </c>
      <c r="K305" s="28" t="n">
        <v>114.6</v>
      </c>
      <c r="L305" s="29" t="n">
        <v>1.822</v>
      </c>
      <c r="M305" s="19" t="n">
        <v>1.338</v>
      </c>
      <c r="N305" s="28" t="n">
        <v>5.92</v>
      </c>
      <c r="O305" s="18" t="n">
        <v>31</v>
      </c>
      <c r="P305" s="18" t="n">
        <v>-1.25</v>
      </c>
      <c r="Q305" s="18" t="n">
        <v>-0.93</v>
      </c>
    </row>
    <row r="306" customFormat="false" ht="15" hidden="false" customHeight="false" outlineLevel="0" collapsed="false">
      <c r="A306" s="18" t="n">
        <v>77</v>
      </c>
      <c r="B306" s="18" t="s">
        <v>661</v>
      </c>
      <c r="C306" s="18" t="s">
        <v>506</v>
      </c>
      <c r="D306" s="18" t="s">
        <v>491</v>
      </c>
      <c r="E306" s="18" t="n">
        <v>0</v>
      </c>
      <c r="F306" s="18" t="n">
        <v>0</v>
      </c>
      <c r="G306" s="20" t="n">
        <v>-0.0693</v>
      </c>
      <c r="H306" s="20" t="n">
        <v>0.007</v>
      </c>
      <c r="I306" s="28" t="n">
        <v>203.7</v>
      </c>
      <c r="J306" s="28" t="n">
        <v>876.5</v>
      </c>
      <c r="K306" s="28" t="n">
        <v>110.1</v>
      </c>
      <c r="L306" s="18"/>
      <c r="M306" s="19" t="n">
        <v>0.992</v>
      </c>
      <c r="N306" s="28" t="n">
        <v>8.47</v>
      </c>
      <c r="O306" s="18" t="n">
        <v>30</v>
      </c>
      <c r="P306" s="18" t="n">
        <v>-1.5</v>
      </c>
      <c r="Q306" s="18" t="n">
        <v>-0.93</v>
      </c>
    </row>
    <row r="307" customFormat="false" ht="15" hidden="false" customHeight="false" outlineLevel="0" collapsed="false">
      <c r="A307" s="18" t="n">
        <v>77</v>
      </c>
      <c r="B307" s="18" t="s">
        <v>661</v>
      </c>
      <c r="C307" s="18" t="s">
        <v>506</v>
      </c>
      <c r="D307" s="18" t="s">
        <v>492</v>
      </c>
      <c r="E307" s="18" t="n">
        <v>1</v>
      </c>
      <c r="F307" s="18" t="n">
        <v>0</v>
      </c>
      <c r="G307" s="20" t="n">
        <v>-0.0517</v>
      </c>
      <c r="H307" s="20" t="n">
        <v>0.0066</v>
      </c>
      <c r="I307" s="28" t="n">
        <v>216.4</v>
      </c>
      <c r="J307" s="28" t="n">
        <v>985.1</v>
      </c>
      <c r="K307" s="28" t="n">
        <v>117.2</v>
      </c>
      <c r="L307" s="29" t="n">
        <v>0.528</v>
      </c>
      <c r="M307" s="19" t="n">
        <v>1.229</v>
      </c>
      <c r="N307" s="28" t="n">
        <v>7.43</v>
      </c>
      <c r="O307" s="18" t="n">
        <v>30</v>
      </c>
      <c r="P307" s="18" t="n">
        <v>-1.5</v>
      </c>
      <c r="Q307" s="18" t="n">
        <v>-0.93</v>
      </c>
    </row>
    <row r="308" customFormat="false" ht="15" hidden="false" customHeight="false" outlineLevel="0" collapsed="false">
      <c r="A308" s="18" t="n">
        <v>77</v>
      </c>
      <c r="B308" s="18" t="s">
        <v>662</v>
      </c>
      <c r="C308" s="18" t="s">
        <v>506</v>
      </c>
      <c r="D308" s="18" t="s">
        <v>494</v>
      </c>
      <c r="E308" s="18" t="n">
        <v>0</v>
      </c>
      <c r="F308" s="18" t="n">
        <v>1</v>
      </c>
      <c r="G308" s="20" t="n">
        <v>0.0826</v>
      </c>
      <c r="H308" s="20" t="n">
        <v>0.0056</v>
      </c>
      <c r="I308" s="28" t="n">
        <v>207</v>
      </c>
      <c r="J308" s="28" t="n">
        <v>876</v>
      </c>
      <c r="K308" s="28" t="n">
        <v>103</v>
      </c>
      <c r="L308" s="18"/>
      <c r="M308" s="19" t="n">
        <v>0.885</v>
      </c>
      <c r="N308" s="28" t="n">
        <v>6.95</v>
      </c>
      <c r="O308" s="18" t="n">
        <v>29</v>
      </c>
      <c r="P308" s="18" t="n">
        <v>-1.5</v>
      </c>
      <c r="Q308" s="18" t="n">
        <v>-0.93</v>
      </c>
    </row>
    <row r="309" customFormat="false" ht="15" hidden="false" customHeight="false" outlineLevel="0" collapsed="false">
      <c r="A309" s="18" t="n">
        <v>77</v>
      </c>
      <c r="B309" s="18" t="s">
        <v>662</v>
      </c>
      <c r="C309" s="18" t="s">
        <v>506</v>
      </c>
      <c r="D309" s="18" t="s">
        <v>495</v>
      </c>
      <c r="E309" s="18" t="n">
        <v>1</v>
      </c>
      <c r="F309" s="18" t="n">
        <v>1</v>
      </c>
      <c r="G309" s="20" t="n">
        <v>0.0699</v>
      </c>
      <c r="H309" s="20" t="n">
        <v>0.0058</v>
      </c>
      <c r="I309" s="28" t="n">
        <v>218.6</v>
      </c>
      <c r="J309" s="28" t="n">
        <v>985</v>
      </c>
      <c r="K309" s="28" t="n">
        <v>116</v>
      </c>
      <c r="L309" s="29" t="n">
        <v>0.783</v>
      </c>
      <c r="M309" s="19" t="n">
        <v>0.858</v>
      </c>
      <c r="N309" s="28" t="n">
        <v>7.78</v>
      </c>
      <c r="O309" s="18" t="n">
        <v>29</v>
      </c>
      <c r="P309" s="18" t="n">
        <v>-1.5</v>
      </c>
      <c r="Q309" s="18" t="n">
        <v>-0.93</v>
      </c>
    </row>
    <row r="310" customFormat="false" ht="15" hidden="false" customHeight="false" outlineLevel="0" collapsed="false">
      <c r="A310" s="18" t="n">
        <v>78</v>
      </c>
      <c r="B310" s="18" t="s">
        <v>663</v>
      </c>
      <c r="C310" s="18" t="s">
        <v>577</v>
      </c>
      <c r="D310" s="18" t="s">
        <v>491</v>
      </c>
      <c r="E310" s="18" t="n">
        <v>0</v>
      </c>
      <c r="F310" s="18" t="n">
        <v>0</v>
      </c>
      <c r="G310" s="20" t="n">
        <v>-0.0631</v>
      </c>
      <c r="H310" s="20" t="n">
        <v>0.0056</v>
      </c>
      <c r="I310" s="28" t="n">
        <v>208.1</v>
      </c>
      <c r="J310" s="28" t="n">
        <v>878.8</v>
      </c>
      <c r="K310" s="28" t="n">
        <v>137.2</v>
      </c>
      <c r="L310" s="29" t="n">
        <v>2.534</v>
      </c>
      <c r="M310" s="19" t="n">
        <v>0.615</v>
      </c>
      <c r="N310" s="28" t="n">
        <v>7.44</v>
      </c>
      <c r="O310" s="18" t="n">
        <v>33</v>
      </c>
      <c r="P310" s="18" t="n">
        <v>-1.5</v>
      </c>
      <c r="Q310" s="18" t="n">
        <v>-0.93</v>
      </c>
    </row>
    <row r="311" customFormat="false" ht="15" hidden="false" customHeight="false" outlineLevel="0" collapsed="false">
      <c r="A311" s="18" t="n">
        <v>78</v>
      </c>
      <c r="B311" s="18" t="s">
        <v>663</v>
      </c>
      <c r="C311" s="18" t="s">
        <v>577</v>
      </c>
      <c r="D311" s="18" t="s">
        <v>492</v>
      </c>
      <c r="E311" s="18" t="n">
        <v>1</v>
      </c>
      <c r="F311" s="18" t="n">
        <v>0</v>
      </c>
      <c r="G311" s="20" t="n">
        <v>-0.0602</v>
      </c>
      <c r="H311" s="20" t="n">
        <v>0.005</v>
      </c>
      <c r="I311" s="28" t="n">
        <v>197.2</v>
      </c>
      <c r="J311" s="28" t="n">
        <v>991.3</v>
      </c>
      <c r="K311" s="28" t="n">
        <v>139</v>
      </c>
      <c r="L311" s="29" t="n">
        <v>0.538</v>
      </c>
      <c r="M311" s="19" t="n">
        <v>1.301</v>
      </c>
      <c r="N311" s="28" t="n">
        <v>7.57</v>
      </c>
      <c r="O311" s="18" t="n">
        <v>33</v>
      </c>
      <c r="P311" s="18" t="n">
        <v>-1.5</v>
      </c>
      <c r="Q311" s="18" t="n">
        <v>-0.93</v>
      </c>
    </row>
    <row r="312" customFormat="false" ht="15" hidden="false" customHeight="false" outlineLevel="0" collapsed="false">
      <c r="A312" s="18" t="n">
        <v>78</v>
      </c>
      <c r="B312" s="18" t="s">
        <v>664</v>
      </c>
      <c r="C312" s="18" t="s">
        <v>577</v>
      </c>
      <c r="D312" s="18" t="s">
        <v>494</v>
      </c>
      <c r="E312" s="18" t="n">
        <v>0</v>
      </c>
      <c r="F312" s="18" t="n">
        <v>1</v>
      </c>
      <c r="G312" s="20" t="n">
        <v>0.0723</v>
      </c>
      <c r="H312" s="20" t="n">
        <v>0.0052</v>
      </c>
      <c r="I312" s="28" t="n">
        <v>201</v>
      </c>
      <c r="J312" s="28" t="n">
        <v>877.7</v>
      </c>
      <c r="K312" s="28" t="n">
        <v>120.3</v>
      </c>
      <c r="L312" s="29" t="n">
        <v>3.02</v>
      </c>
      <c r="M312" s="19" t="n">
        <v>1.439</v>
      </c>
      <c r="N312" s="28" t="n">
        <v>7.81</v>
      </c>
      <c r="O312" s="18" t="n">
        <v>30</v>
      </c>
      <c r="P312" s="18" t="n">
        <v>-1.5</v>
      </c>
      <c r="Q312" s="18" t="n">
        <v>-0.93</v>
      </c>
    </row>
    <row r="313" customFormat="false" ht="15" hidden="false" customHeight="false" outlineLevel="0" collapsed="false">
      <c r="A313" s="18" t="n">
        <v>78</v>
      </c>
      <c r="B313" s="18" t="s">
        <v>664</v>
      </c>
      <c r="C313" s="18" t="s">
        <v>577</v>
      </c>
      <c r="D313" s="18" t="s">
        <v>495</v>
      </c>
      <c r="E313" s="18" t="n">
        <v>1</v>
      </c>
      <c r="F313" s="18" t="n">
        <v>1</v>
      </c>
      <c r="G313" s="20" t="n">
        <v>0.0722</v>
      </c>
      <c r="H313" s="20" t="n">
        <v>0.0059</v>
      </c>
      <c r="I313" s="28" t="n">
        <v>211.8</v>
      </c>
      <c r="J313" s="28" t="n">
        <v>988.2</v>
      </c>
      <c r="K313" s="28" t="n">
        <v>121.1</v>
      </c>
      <c r="L313" s="29" t="n">
        <v>1.889</v>
      </c>
      <c r="M313" s="19" t="n">
        <v>0.901</v>
      </c>
      <c r="N313" s="28" t="n">
        <v>8.8</v>
      </c>
      <c r="O313" s="18" t="n">
        <v>30</v>
      </c>
      <c r="P313" s="18" t="n">
        <v>-1.5</v>
      </c>
      <c r="Q313" s="18" t="n">
        <v>-0.93</v>
      </c>
    </row>
    <row r="314" customFormat="false" ht="15" hidden="false" customHeight="false" outlineLevel="0" collapsed="false">
      <c r="A314" s="18" t="n">
        <v>79</v>
      </c>
      <c r="B314" s="18" t="s">
        <v>665</v>
      </c>
      <c r="C314" s="18" t="s">
        <v>522</v>
      </c>
      <c r="D314" s="18" t="s">
        <v>491</v>
      </c>
      <c r="E314" s="18" t="n">
        <v>0</v>
      </c>
      <c r="F314" s="18" t="n">
        <v>0</v>
      </c>
      <c r="G314" s="20" t="n">
        <v>-0.0517</v>
      </c>
      <c r="H314" s="20" t="n">
        <v>0.0057</v>
      </c>
      <c r="I314" s="28" t="n">
        <v>184</v>
      </c>
      <c r="J314" s="28" t="n">
        <v>532.1</v>
      </c>
      <c r="K314" s="28" t="n">
        <v>118.3</v>
      </c>
      <c r="L314" s="29" t="n">
        <v>2.766</v>
      </c>
      <c r="M314" s="19" t="n">
        <v>1.117</v>
      </c>
      <c r="N314" s="28" t="n">
        <v>5.85</v>
      </c>
      <c r="O314" s="18" t="n">
        <v>31</v>
      </c>
      <c r="P314" s="18" t="n">
        <v>-1.25</v>
      </c>
      <c r="Q314" s="18" t="n">
        <v>-0.93</v>
      </c>
    </row>
    <row r="315" customFormat="false" ht="15" hidden="false" customHeight="false" outlineLevel="0" collapsed="false">
      <c r="A315" s="18" t="n">
        <v>79</v>
      </c>
      <c r="B315" s="18" t="s">
        <v>665</v>
      </c>
      <c r="C315" s="18" t="s">
        <v>522</v>
      </c>
      <c r="D315" s="18" t="s">
        <v>492</v>
      </c>
      <c r="E315" s="18" t="n">
        <v>1</v>
      </c>
      <c r="F315" s="18" t="n">
        <v>0</v>
      </c>
      <c r="G315" s="20" t="n">
        <v>-0.0363</v>
      </c>
      <c r="H315" s="20" t="n">
        <v>0.0059</v>
      </c>
      <c r="I315" s="28" t="n">
        <v>186.4</v>
      </c>
      <c r="J315" s="28" t="n">
        <v>635.7</v>
      </c>
      <c r="K315" s="28" t="n">
        <v>112.3</v>
      </c>
      <c r="L315" s="29" t="n">
        <v>3.54</v>
      </c>
      <c r="M315" s="19" t="n">
        <v>0.547</v>
      </c>
      <c r="N315" s="28" t="n">
        <v>5.75</v>
      </c>
      <c r="O315" s="18" t="n">
        <v>31</v>
      </c>
      <c r="P315" s="18" t="n">
        <v>-1.25</v>
      </c>
      <c r="Q315" s="18" t="n">
        <v>-0.93</v>
      </c>
    </row>
    <row r="316" customFormat="false" ht="15" hidden="false" customHeight="false" outlineLevel="0" collapsed="false">
      <c r="A316" s="18" t="n">
        <v>79</v>
      </c>
      <c r="B316" s="18" t="s">
        <v>666</v>
      </c>
      <c r="C316" s="18" t="s">
        <v>522</v>
      </c>
      <c r="D316" s="18" t="s">
        <v>494</v>
      </c>
      <c r="E316" s="18" t="n">
        <v>0</v>
      </c>
      <c r="F316" s="18" t="n">
        <v>1</v>
      </c>
      <c r="G316" s="20" t="n">
        <v>0.0651</v>
      </c>
      <c r="H316" s="20" t="n">
        <v>0.0084</v>
      </c>
      <c r="I316" s="28" t="n">
        <v>186.5</v>
      </c>
      <c r="J316" s="28" t="n">
        <v>528.3</v>
      </c>
      <c r="K316" s="28" t="n">
        <v>143.1</v>
      </c>
      <c r="L316" s="29" t="n">
        <v>5.347</v>
      </c>
      <c r="M316" s="19" t="n">
        <v>0.585</v>
      </c>
      <c r="N316" s="28" t="n">
        <v>6.54</v>
      </c>
      <c r="O316" s="18" t="n">
        <v>32</v>
      </c>
      <c r="P316" s="18" t="n">
        <v>-1.25</v>
      </c>
      <c r="Q316" s="18" t="n">
        <v>-0.93</v>
      </c>
    </row>
    <row r="317" customFormat="false" ht="15" hidden="false" customHeight="false" outlineLevel="0" collapsed="false">
      <c r="A317" s="18" t="n">
        <v>79</v>
      </c>
      <c r="B317" s="18" t="s">
        <v>666</v>
      </c>
      <c r="C317" s="18" t="s">
        <v>522</v>
      </c>
      <c r="D317" s="18" t="s">
        <v>495</v>
      </c>
      <c r="E317" s="18" t="n">
        <v>1</v>
      </c>
      <c r="F317" s="18" t="n">
        <v>1</v>
      </c>
      <c r="G317" s="20" t="n">
        <v>0.0342</v>
      </c>
      <c r="H317" s="20" t="n">
        <v>0.0078</v>
      </c>
      <c r="I317" s="28" t="n">
        <v>189</v>
      </c>
      <c r="J317" s="28" t="n">
        <v>634.6</v>
      </c>
      <c r="K317" s="28" t="n">
        <v>135.4</v>
      </c>
      <c r="L317" s="29" t="n">
        <v>5.936</v>
      </c>
      <c r="M317" s="19" t="n">
        <v>1.437</v>
      </c>
      <c r="N317" s="28" t="n">
        <v>8.09</v>
      </c>
      <c r="O317" s="18" t="n">
        <v>32</v>
      </c>
      <c r="P317" s="18" t="n">
        <v>-1.25</v>
      </c>
      <c r="Q317" s="18" t="n">
        <v>-0.93</v>
      </c>
    </row>
    <row r="318" customFormat="false" ht="15" hidden="false" customHeight="false" outlineLevel="0" collapsed="false">
      <c r="A318" s="18" t="n">
        <v>80</v>
      </c>
      <c r="B318" s="18" t="s">
        <v>667</v>
      </c>
      <c r="C318" s="18" t="s">
        <v>500</v>
      </c>
      <c r="D318" s="18" t="s">
        <v>491</v>
      </c>
      <c r="E318" s="18" t="n">
        <v>0</v>
      </c>
      <c r="F318" s="18" t="n">
        <v>0</v>
      </c>
      <c r="G318" s="20" t="n">
        <v>-0.0516</v>
      </c>
      <c r="H318" s="20" t="n">
        <v>0.0079</v>
      </c>
      <c r="I318" s="28" t="n">
        <v>189.2</v>
      </c>
      <c r="J318" s="28" t="n">
        <v>528.3</v>
      </c>
      <c r="K318" s="28" t="n">
        <v>144.4</v>
      </c>
      <c r="L318" s="18"/>
      <c r="M318" s="19" t="n">
        <v>0.848</v>
      </c>
      <c r="N318" s="28" t="n">
        <v>7.61</v>
      </c>
      <c r="O318" s="18" t="n">
        <v>32</v>
      </c>
      <c r="P318" s="18" t="n">
        <v>-1.25</v>
      </c>
      <c r="Q318" s="18" t="n">
        <v>-0.93</v>
      </c>
    </row>
    <row r="319" customFormat="false" ht="15" hidden="false" customHeight="false" outlineLevel="0" collapsed="false">
      <c r="A319" s="18" t="n">
        <v>80</v>
      </c>
      <c r="B319" s="18" t="s">
        <v>667</v>
      </c>
      <c r="C319" s="18" t="s">
        <v>500</v>
      </c>
      <c r="D319" s="18" t="s">
        <v>492</v>
      </c>
      <c r="E319" s="18" t="n">
        <v>1</v>
      </c>
      <c r="F319" s="18" t="n">
        <v>0</v>
      </c>
      <c r="G319" s="20" t="n">
        <v>-0.0628</v>
      </c>
      <c r="H319" s="20" t="n">
        <v>0.0088</v>
      </c>
      <c r="I319" s="28" t="n">
        <v>184.5</v>
      </c>
      <c r="J319" s="28" t="n">
        <v>635.5</v>
      </c>
      <c r="K319" s="28" t="n">
        <v>129.1</v>
      </c>
      <c r="L319" s="29" t="n">
        <v>1.05</v>
      </c>
      <c r="M319" s="19" t="n">
        <v>2.035</v>
      </c>
      <c r="N319" s="28" t="n">
        <v>7.89</v>
      </c>
      <c r="O319" s="18" t="n">
        <v>32</v>
      </c>
      <c r="P319" s="18" t="n">
        <v>-1.25</v>
      </c>
      <c r="Q319" s="18" t="n">
        <v>-0.93</v>
      </c>
    </row>
    <row r="320" customFormat="false" ht="15" hidden="false" customHeight="false" outlineLevel="0" collapsed="false">
      <c r="A320" s="18" t="n">
        <v>80</v>
      </c>
      <c r="B320" s="18" t="s">
        <v>668</v>
      </c>
      <c r="C320" s="18" t="s">
        <v>500</v>
      </c>
      <c r="D320" s="18" t="s">
        <v>494</v>
      </c>
      <c r="E320" s="18" t="n">
        <v>0</v>
      </c>
      <c r="F320" s="18" t="n">
        <v>1</v>
      </c>
      <c r="G320" s="20" t="n">
        <v>0.0394</v>
      </c>
      <c r="H320" s="20" t="n">
        <v>0.0069</v>
      </c>
      <c r="I320" s="28" t="n">
        <v>182.1</v>
      </c>
      <c r="J320" s="28" t="n">
        <v>529.2</v>
      </c>
      <c r="K320" s="28" t="n">
        <v>127.1</v>
      </c>
      <c r="L320" s="29" t="n">
        <v>1.557</v>
      </c>
      <c r="M320" s="19" t="n">
        <v>1.12</v>
      </c>
      <c r="N320" s="28" t="n">
        <v>6.32</v>
      </c>
      <c r="O320" s="18" t="n">
        <v>33</v>
      </c>
      <c r="P320" s="18" t="n">
        <v>-1.25</v>
      </c>
      <c r="Q320" s="18" t="n">
        <v>-0.93</v>
      </c>
    </row>
    <row r="321" customFormat="false" ht="15" hidden="false" customHeight="false" outlineLevel="0" collapsed="false">
      <c r="A321" s="18" t="n">
        <v>80</v>
      </c>
      <c r="B321" s="18" t="s">
        <v>668</v>
      </c>
      <c r="C321" s="18" t="s">
        <v>500</v>
      </c>
      <c r="D321" s="18" t="s">
        <v>495</v>
      </c>
      <c r="E321" s="18" t="n">
        <v>1</v>
      </c>
      <c r="F321" s="18" t="n">
        <v>1</v>
      </c>
      <c r="G321" s="20" t="n">
        <v>0.0306</v>
      </c>
      <c r="H321" s="20" t="n">
        <v>0.009</v>
      </c>
      <c r="I321" s="28" t="n">
        <v>196.8</v>
      </c>
      <c r="J321" s="28" t="n">
        <v>634.3</v>
      </c>
      <c r="K321" s="28" t="n">
        <v>140.7</v>
      </c>
      <c r="L321" s="18"/>
      <c r="M321" s="19" t="n">
        <v>0.953</v>
      </c>
      <c r="N321" s="28" t="n">
        <v>9.08</v>
      </c>
      <c r="O321" s="18" t="n">
        <v>33</v>
      </c>
      <c r="P321" s="18" t="n">
        <v>-1.25</v>
      </c>
      <c r="Q321" s="18" t="n">
        <v>-0.93</v>
      </c>
    </row>
    <row r="322" customFormat="false" ht="15" hidden="false" customHeight="false" outlineLevel="0" collapsed="false">
      <c r="A322" s="18" t="n">
        <v>81</v>
      </c>
      <c r="B322" s="18" t="s">
        <v>669</v>
      </c>
      <c r="C322" s="18" t="s">
        <v>634</v>
      </c>
      <c r="D322" s="18" t="s">
        <v>491</v>
      </c>
      <c r="E322" s="18" t="n">
        <v>0</v>
      </c>
      <c r="F322" s="18" t="n">
        <v>0</v>
      </c>
      <c r="G322" s="20" t="n">
        <v>-0.0724</v>
      </c>
      <c r="H322" s="20" t="n">
        <v>0.0073</v>
      </c>
      <c r="I322" s="28" t="n">
        <v>225.1</v>
      </c>
      <c r="J322" s="28" t="n">
        <v>1341</v>
      </c>
      <c r="K322" s="28" t="n">
        <v>173.3</v>
      </c>
      <c r="L322" s="29" t="n">
        <v>0.219</v>
      </c>
      <c r="M322" s="19" t="n">
        <v>0.82</v>
      </c>
      <c r="N322" s="28" t="n">
        <v>10.48</v>
      </c>
      <c r="O322" s="18" t="n">
        <v>33</v>
      </c>
      <c r="P322" s="18" t="n">
        <v>-1.75</v>
      </c>
      <c r="Q322" s="18" t="n">
        <v>-0.93</v>
      </c>
    </row>
    <row r="323" customFormat="false" ht="15" hidden="false" customHeight="false" outlineLevel="0" collapsed="false">
      <c r="A323" s="18" t="n">
        <v>81</v>
      </c>
      <c r="B323" s="18" t="s">
        <v>669</v>
      </c>
      <c r="C323" s="18" t="s">
        <v>634</v>
      </c>
      <c r="D323" s="18" t="s">
        <v>492</v>
      </c>
      <c r="E323" s="18" t="n">
        <v>1</v>
      </c>
      <c r="F323" s="18" t="n">
        <v>0</v>
      </c>
      <c r="G323" s="20" t="n">
        <v>-0.0707</v>
      </c>
      <c r="H323" s="20" t="n">
        <v>0.0041</v>
      </c>
      <c r="I323" s="28" t="n">
        <v>224.6</v>
      </c>
      <c r="J323" s="28" t="n">
        <v>1455.1</v>
      </c>
      <c r="K323" s="28" t="n">
        <v>169.2</v>
      </c>
      <c r="L323" s="29" t="n">
        <v>2.164</v>
      </c>
      <c r="M323" s="19" t="n">
        <v>0.861</v>
      </c>
      <c r="N323" s="28" t="n">
        <v>7.78</v>
      </c>
      <c r="O323" s="18" t="n">
        <v>33</v>
      </c>
      <c r="P323" s="18" t="n">
        <v>-1.75</v>
      </c>
      <c r="Q323" s="18" t="n">
        <v>-0.93</v>
      </c>
    </row>
    <row r="324" customFormat="false" ht="15" hidden="false" customHeight="false" outlineLevel="0" collapsed="false">
      <c r="A324" s="18" t="n">
        <v>81</v>
      </c>
      <c r="B324" s="18" t="s">
        <v>670</v>
      </c>
      <c r="C324" s="18" t="s">
        <v>634</v>
      </c>
      <c r="D324" s="18" t="s">
        <v>494</v>
      </c>
      <c r="E324" s="18" t="n">
        <v>0</v>
      </c>
      <c r="F324" s="18" t="n">
        <v>1</v>
      </c>
      <c r="G324" s="20" t="n">
        <v>0.1103</v>
      </c>
      <c r="H324" s="20" t="n">
        <v>0.0071</v>
      </c>
      <c r="I324" s="28" t="n">
        <v>226.3</v>
      </c>
      <c r="J324" s="28" t="n">
        <v>1339.7</v>
      </c>
      <c r="K324" s="28" t="n">
        <v>144.7</v>
      </c>
      <c r="L324" s="29" t="n">
        <v>1.174</v>
      </c>
      <c r="M324" s="19" t="n">
        <v>0.984</v>
      </c>
      <c r="N324" s="28" t="n">
        <v>9.1</v>
      </c>
      <c r="O324" s="18" t="n">
        <v>33</v>
      </c>
      <c r="P324" s="18" t="n">
        <v>-1.75</v>
      </c>
      <c r="Q324" s="18" t="n">
        <v>-0.93</v>
      </c>
    </row>
    <row r="325" customFormat="false" ht="15" hidden="false" customHeight="false" outlineLevel="0" collapsed="false">
      <c r="A325" s="18" t="n">
        <v>81</v>
      </c>
      <c r="B325" s="18" t="s">
        <v>670</v>
      </c>
      <c r="C325" s="18" t="s">
        <v>634</v>
      </c>
      <c r="D325" s="18" t="s">
        <v>495</v>
      </c>
      <c r="E325" s="18" t="n">
        <v>1</v>
      </c>
      <c r="F325" s="18" t="n">
        <v>1</v>
      </c>
      <c r="G325" s="20" t="n">
        <v>0.0871</v>
      </c>
      <c r="H325" s="20" t="n">
        <v>0.0078</v>
      </c>
      <c r="I325" s="28" t="n">
        <v>226.9</v>
      </c>
      <c r="J325" s="28" t="n">
        <v>1455.8</v>
      </c>
      <c r="K325" s="28" t="n">
        <v>138.6</v>
      </c>
      <c r="L325" s="29" t="n">
        <v>2.347</v>
      </c>
      <c r="M325" s="19" t="n">
        <v>1.136</v>
      </c>
      <c r="N325" s="28" t="n">
        <v>8.81</v>
      </c>
      <c r="O325" s="18" t="n">
        <v>33</v>
      </c>
      <c r="P325" s="18" t="n">
        <v>-1.75</v>
      </c>
      <c r="Q325" s="18" t="n">
        <v>-0.93</v>
      </c>
    </row>
    <row r="326" customFormat="false" ht="15" hidden="false" customHeight="false" outlineLevel="0" collapsed="false">
      <c r="A326" s="18" t="n">
        <v>82</v>
      </c>
      <c r="B326" s="18" t="s">
        <v>671</v>
      </c>
      <c r="C326" s="18" t="s">
        <v>672</v>
      </c>
      <c r="D326" s="18" t="s">
        <v>491</v>
      </c>
      <c r="E326" s="18" t="n">
        <v>0</v>
      </c>
      <c r="F326" s="18" t="n">
        <v>0</v>
      </c>
      <c r="G326" s="20" t="n">
        <v>-0.0763</v>
      </c>
      <c r="H326" s="20" t="n">
        <v>0.0075</v>
      </c>
      <c r="I326" s="28" t="n">
        <v>229</v>
      </c>
      <c r="J326" s="28" t="n">
        <v>1931</v>
      </c>
      <c r="K326" s="28" t="n">
        <v>160</v>
      </c>
      <c r="L326" s="29" t="n">
        <v>4.961</v>
      </c>
      <c r="M326" s="19" t="n">
        <v>1.349</v>
      </c>
      <c r="N326" s="28" t="n">
        <v>12.1</v>
      </c>
      <c r="O326" s="18" t="n">
        <v>32</v>
      </c>
      <c r="P326" s="18" t="n">
        <v>-2</v>
      </c>
      <c r="Q326" s="18" t="n">
        <v>-0.93</v>
      </c>
    </row>
    <row r="327" customFormat="false" ht="15" hidden="false" customHeight="false" outlineLevel="0" collapsed="false">
      <c r="A327" s="18" t="n">
        <v>82</v>
      </c>
      <c r="B327" s="18" t="s">
        <v>671</v>
      </c>
      <c r="C327" s="18" t="s">
        <v>672</v>
      </c>
      <c r="D327" s="18" t="s">
        <v>492</v>
      </c>
      <c r="E327" s="18" t="n">
        <v>1</v>
      </c>
      <c r="F327" s="18" t="n">
        <v>0</v>
      </c>
      <c r="G327" s="20" t="n">
        <v>-0.0894</v>
      </c>
      <c r="H327" s="20" t="n">
        <v>0.0081</v>
      </c>
      <c r="I327" s="28" t="n">
        <v>226.7</v>
      </c>
      <c r="J327" s="28" t="n">
        <v>2052.2</v>
      </c>
      <c r="K327" s="28" t="n">
        <v>145.5</v>
      </c>
      <c r="L327" s="29" t="n">
        <v>2.308</v>
      </c>
      <c r="M327" s="19" t="n">
        <v>0.88</v>
      </c>
      <c r="N327" s="28" t="n">
        <v>9.3</v>
      </c>
      <c r="O327" s="18" t="n">
        <v>32</v>
      </c>
      <c r="P327" s="18" t="n">
        <v>-2</v>
      </c>
      <c r="Q327" s="18" t="n">
        <v>-0.93</v>
      </c>
    </row>
    <row r="328" customFormat="false" ht="15" hidden="false" customHeight="false" outlineLevel="0" collapsed="false">
      <c r="A328" s="18" t="n">
        <v>82</v>
      </c>
      <c r="B328" s="18" t="s">
        <v>673</v>
      </c>
      <c r="C328" s="18" t="s">
        <v>672</v>
      </c>
      <c r="D328" s="18" t="s">
        <v>494</v>
      </c>
      <c r="E328" s="18" t="n">
        <v>0</v>
      </c>
      <c r="F328" s="18" t="n">
        <v>1</v>
      </c>
      <c r="G328" s="20" t="n">
        <v>0.1444</v>
      </c>
      <c r="H328" s="20" t="n">
        <v>0.0054</v>
      </c>
      <c r="I328" s="28" t="n">
        <v>247.4</v>
      </c>
      <c r="J328" s="28" t="n">
        <v>1925.7</v>
      </c>
      <c r="K328" s="28" t="n">
        <v>179.3</v>
      </c>
      <c r="L328" s="29" t="n">
        <v>0.951</v>
      </c>
      <c r="M328" s="19" t="n">
        <v>0.749</v>
      </c>
      <c r="N328" s="28" t="n">
        <v>11.41</v>
      </c>
      <c r="O328" s="18" t="n">
        <v>33</v>
      </c>
      <c r="P328" s="18" t="n">
        <v>-2</v>
      </c>
      <c r="Q328" s="18" t="n">
        <v>-0.93</v>
      </c>
    </row>
    <row r="329" customFormat="false" ht="15" hidden="false" customHeight="false" outlineLevel="0" collapsed="false">
      <c r="A329" s="18" t="n">
        <v>82</v>
      </c>
      <c r="B329" s="18" t="s">
        <v>673</v>
      </c>
      <c r="C329" s="18" t="s">
        <v>672</v>
      </c>
      <c r="D329" s="18" t="s">
        <v>495</v>
      </c>
      <c r="E329" s="18" t="n">
        <v>1</v>
      </c>
      <c r="F329" s="18" t="n">
        <v>1</v>
      </c>
      <c r="G329" s="20" t="n">
        <v>0.1331</v>
      </c>
      <c r="H329" s="20" t="n">
        <v>0.0075</v>
      </c>
      <c r="I329" s="28" t="n">
        <v>247.5</v>
      </c>
      <c r="J329" s="28" t="n">
        <v>2048.3</v>
      </c>
      <c r="K329" s="28" t="n">
        <v>163</v>
      </c>
      <c r="L329" s="18"/>
      <c r="M329" s="19" t="n">
        <v>0.855</v>
      </c>
      <c r="N329" s="28" t="n">
        <v>9.35</v>
      </c>
      <c r="O329" s="18" t="n">
        <v>33</v>
      </c>
      <c r="P329" s="18" t="n">
        <v>-2</v>
      </c>
      <c r="Q329" s="18" t="n">
        <v>-0.93</v>
      </c>
    </row>
    <row r="330" customFormat="false" ht="15" hidden="false" customHeight="false" outlineLevel="0" collapsed="false">
      <c r="A330" s="18" t="n">
        <v>83</v>
      </c>
      <c r="B330" s="18" t="s">
        <v>674</v>
      </c>
      <c r="C330" s="18" t="s">
        <v>634</v>
      </c>
      <c r="D330" s="18" t="s">
        <v>491</v>
      </c>
      <c r="E330" s="18" t="n">
        <v>0</v>
      </c>
      <c r="F330" s="18" t="n">
        <v>0</v>
      </c>
      <c r="G330" s="20" t="n">
        <v>-0.0663</v>
      </c>
      <c r="H330" s="20" t="n">
        <v>0.0044</v>
      </c>
      <c r="I330" s="28" t="n">
        <v>223.9</v>
      </c>
      <c r="J330" s="28" t="n">
        <v>1340.3</v>
      </c>
      <c r="K330" s="28" t="n">
        <v>130.7</v>
      </c>
      <c r="L330" s="29" t="n">
        <v>1.885</v>
      </c>
      <c r="M330" s="19" t="n">
        <v>0.981</v>
      </c>
      <c r="N330" s="28" t="n">
        <v>7.57</v>
      </c>
      <c r="O330" s="18" t="n">
        <v>30</v>
      </c>
      <c r="P330" s="18" t="n">
        <v>-1.75</v>
      </c>
      <c r="Q330" s="18" t="n">
        <v>-0.93</v>
      </c>
    </row>
    <row r="331" customFormat="false" ht="15" hidden="false" customHeight="false" outlineLevel="0" collapsed="false">
      <c r="A331" s="18" t="n">
        <v>83</v>
      </c>
      <c r="B331" s="18" t="s">
        <v>674</v>
      </c>
      <c r="C331" s="18" t="s">
        <v>634</v>
      </c>
      <c r="D331" s="18" t="s">
        <v>492</v>
      </c>
      <c r="E331" s="18" t="n">
        <v>1</v>
      </c>
      <c r="F331" s="18" t="n">
        <v>0</v>
      </c>
      <c r="G331" s="20" t="n">
        <v>-0.0683</v>
      </c>
      <c r="H331" s="20" t="n">
        <v>0.0062</v>
      </c>
      <c r="I331" s="28" t="n">
        <v>211.8</v>
      </c>
      <c r="J331" s="28" t="n">
        <v>1457.9</v>
      </c>
      <c r="K331" s="28" t="n">
        <v>140.8</v>
      </c>
      <c r="L331" s="29" t="n">
        <v>2.321</v>
      </c>
      <c r="M331" s="19" t="n">
        <v>1.058</v>
      </c>
      <c r="N331" s="28" t="n">
        <v>9.66</v>
      </c>
      <c r="O331" s="18" t="n">
        <v>30</v>
      </c>
      <c r="P331" s="18" t="n">
        <v>-1.75</v>
      </c>
      <c r="Q331" s="18" t="n">
        <v>-0.93</v>
      </c>
    </row>
    <row r="332" customFormat="false" ht="15" hidden="false" customHeight="false" outlineLevel="0" collapsed="false">
      <c r="A332" s="18" t="n">
        <v>83</v>
      </c>
      <c r="B332" s="18" t="s">
        <v>675</v>
      </c>
      <c r="C332" s="18" t="s">
        <v>634</v>
      </c>
      <c r="D332" s="18" t="s">
        <v>494</v>
      </c>
      <c r="E332" s="18" t="n">
        <v>0</v>
      </c>
      <c r="F332" s="18" t="n">
        <v>1</v>
      </c>
      <c r="G332" s="20" t="n">
        <v>0.1215</v>
      </c>
      <c r="H332" s="20" t="n">
        <v>0.0056</v>
      </c>
      <c r="I332" s="28" t="n">
        <v>228.3</v>
      </c>
      <c r="J332" s="28" t="n">
        <v>1338.5</v>
      </c>
      <c r="K332" s="28" t="n">
        <v>146.9</v>
      </c>
      <c r="L332" s="29" t="n">
        <v>4.806</v>
      </c>
      <c r="M332" s="19" t="n">
        <v>1.347</v>
      </c>
      <c r="N332" s="28" t="n">
        <v>7.22</v>
      </c>
      <c r="O332" s="18" t="n">
        <v>33</v>
      </c>
      <c r="P332" s="18" t="n">
        <v>-1.75</v>
      </c>
      <c r="Q332" s="18" t="n">
        <v>-0.93</v>
      </c>
    </row>
    <row r="333" customFormat="false" ht="15" hidden="false" customHeight="false" outlineLevel="0" collapsed="false">
      <c r="A333" s="18" t="n">
        <v>83</v>
      </c>
      <c r="B333" s="18" t="s">
        <v>675</v>
      </c>
      <c r="C333" s="18" t="s">
        <v>634</v>
      </c>
      <c r="D333" s="18" t="s">
        <v>495</v>
      </c>
      <c r="E333" s="18" t="n">
        <v>1</v>
      </c>
      <c r="F333" s="18" t="n">
        <v>1</v>
      </c>
      <c r="G333" s="20" t="n">
        <v>0.0993</v>
      </c>
      <c r="H333" s="20" t="n">
        <v>0.0055</v>
      </c>
      <c r="I333" s="28" t="n">
        <v>226.8</v>
      </c>
      <c r="J333" s="28" t="n">
        <v>1457.3</v>
      </c>
      <c r="K333" s="28" t="n">
        <v>142.4</v>
      </c>
      <c r="L333" s="18"/>
      <c r="M333" s="19" t="n">
        <v>1.092</v>
      </c>
      <c r="N333" s="28" t="n">
        <v>8.19</v>
      </c>
      <c r="O333" s="18" t="n">
        <v>33</v>
      </c>
      <c r="P333" s="18" t="n">
        <v>-1.75</v>
      </c>
      <c r="Q333" s="18" t="n">
        <v>-0.93</v>
      </c>
    </row>
    <row r="334" customFormat="false" ht="15" hidden="false" customHeight="false" outlineLevel="0" collapsed="false">
      <c r="A334" s="18" t="n">
        <v>84</v>
      </c>
      <c r="B334" s="18" t="s">
        <v>676</v>
      </c>
      <c r="C334" s="18" t="s">
        <v>577</v>
      </c>
      <c r="D334" s="18" t="s">
        <v>491</v>
      </c>
      <c r="E334" s="18" t="n">
        <v>0</v>
      </c>
      <c r="F334" s="18" t="n">
        <v>0</v>
      </c>
      <c r="G334" s="20" t="n">
        <v>-0.0591</v>
      </c>
      <c r="H334" s="20" t="n">
        <v>0.0097</v>
      </c>
      <c r="I334" s="28" t="n">
        <v>206.9</v>
      </c>
      <c r="J334" s="28" t="n">
        <v>876.7</v>
      </c>
      <c r="K334" s="28" t="n">
        <v>194</v>
      </c>
      <c r="L334" s="18"/>
      <c r="M334" s="19" t="n">
        <v>0.764</v>
      </c>
      <c r="N334" s="28" t="n">
        <v>9.02</v>
      </c>
      <c r="O334" s="18" t="n">
        <v>38</v>
      </c>
      <c r="P334" s="18" t="n">
        <v>-1.5</v>
      </c>
      <c r="Q334" s="18" t="n">
        <v>-0.93</v>
      </c>
    </row>
    <row r="335" customFormat="false" ht="15" hidden="false" customHeight="false" outlineLevel="0" collapsed="false">
      <c r="A335" s="18" t="n">
        <v>84</v>
      </c>
      <c r="B335" s="18" t="s">
        <v>676</v>
      </c>
      <c r="C335" s="18" t="s">
        <v>577</v>
      </c>
      <c r="D335" s="18" t="s">
        <v>492</v>
      </c>
      <c r="E335" s="18" t="n">
        <v>1</v>
      </c>
      <c r="F335" s="18" t="n">
        <v>0</v>
      </c>
      <c r="G335" s="20" t="n">
        <v>-0.0573</v>
      </c>
      <c r="H335" s="20" t="n">
        <v>0.0069</v>
      </c>
      <c r="I335" s="28" t="n">
        <v>210</v>
      </c>
      <c r="J335" s="28" t="n">
        <v>987.2</v>
      </c>
      <c r="K335" s="28" t="n">
        <v>179.1</v>
      </c>
      <c r="L335" s="29" t="n">
        <v>1.41</v>
      </c>
      <c r="M335" s="19" t="n">
        <v>0.963</v>
      </c>
      <c r="N335" s="28" t="n">
        <v>7.7</v>
      </c>
      <c r="O335" s="18" t="n">
        <v>38</v>
      </c>
      <c r="P335" s="18" t="n">
        <v>-1.5</v>
      </c>
      <c r="Q335" s="18" t="n">
        <v>-0.93</v>
      </c>
    </row>
    <row r="336" customFormat="false" ht="15" hidden="false" customHeight="false" outlineLevel="0" collapsed="false">
      <c r="A336" s="18" t="n">
        <v>84</v>
      </c>
      <c r="B336" s="18" t="s">
        <v>677</v>
      </c>
      <c r="C336" s="18" t="s">
        <v>577</v>
      </c>
      <c r="D336" s="18" t="s">
        <v>494</v>
      </c>
      <c r="E336" s="18" t="n">
        <v>0</v>
      </c>
      <c r="F336" s="18" t="n">
        <v>1</v>
      </c>
      <c r="G336" s="20" t="n">
        <v>0.0672</v>
      </c>
      <c r="H336" s="20" t="n">
        <v>0.0066</v>
      </c>
      <c r="I336" s="28" t="n">
        <v>212.6</v>
      </c>
      <c r="J336" s="28" t="n">
        <v>876.9</v>
      </c>
      <c r="K336" s="28" t="n">
        <v>169.7</v>
      </c>
      <c r="L336" s="18"/>
      <c r="M336" s="19" t="n">
        <v>0.994</v>
      </c>
      <c r="N336" s="28" t="n">
        <v>8.53</v>
      </c>
      <c r="O336" s="18" t="n">
        <v>37</v>
      </c>
      <c r="P336" s="18" t="n">
        <v>-1.5</v>
      </c>
      <c r="Q336" s="18" t="n">
        <v>-0.93</v>
      </c>
    </row>
    <row r="337" customFormat="false" ht="15" hidden="false" customHeight="false" outlineLevel="0" collapsed="false">
      <c r="A337" s="18" t="n">
        <v>84</v>
      </c>
      <c r="B337" s="18" t="s">
        <v>677</v>
      </c>
      <c r="C337" s="18" t="s">
        <v>577</v>
      </c>
      <c r="D337" s="18" t="s">
        <v>495</v>
      </c>
      <c r="E337" s="18" t="n">
        <v>1</v>
      </c>
      <c r="F337" s="18" t="n">
        <v>1</v>
      </c>
      <c r="G337" s="20" t="n">
        <v>0.0643</v>
      </c>
      <c r="H337" s="20" t="n">
        <v>0.0053</v>
      </c>
      <c r="I337" s="28" t="n">
        <v>222.5</v>
      </c>
      <c r="J337" s="28" t="n">
        <v>987.2</v>
      </c>
      <c r="K337" s="28" t="n">
        <v>171.8</v>
      </c>
      <c r="L337" s="29" t="n">
        <v>2.246</v>
      </c>
      <c r="M337" s="19" t="n">
        <v>1.172</v>
      </c>
      <c r="N337" s="28" t="n">
        <v>8.09</v>
      </c>
      <c r="O337" s="18" t="n">
        <v>37</v>
      </c>
      <c r="P337" s="18" t="n">
        <v>-1.5</v>
      </c>
      <c r="Q337" s="18" t="n">
        <v>-0.93</v>
      </c>
    </row>
    <row r="338" customFormat="false" ht="15" hidden="false" customHeight="false" outlineLevel="0" collapsed="false">
      <c r="A338" s="18" t="n">
        <v>85</v>
      </c>
      <c r="B338" s="18" t="s">
        <v>678</v>
      </c>
      <c r="C338" s="18" t="s">
        <v>634</v>
      </c>
      <c r="D338" s="18" t="s">
        <v>491</v>
      </c>
      <c r="E338" s="18" t="n">
        <v>0</v>
      </c>
      <c r="F338" s="18" t="n">
        <v>0</v>
      </c>
      <c r="G338" s="20" t="n">
        <v>-0.0893</v>
      </c>
      <c r="H338" s="20" t="n">
        <v>0.0075</v>
      </c>
      <c r="I338" s="28" t="n">
        <v>209.5</v>
      </c>
      <c r="J338" s="28" t="n">
        <v>1344.8</v>
      </c>
      <c r="K338" s="28" t="n">
        <v>141.6</v>
      </c>
      <c r="L338" s="29" t="n">
        <v>4.222</v>
      </c>
      <c r="M338" s="19" t="n">
        <v>0.945</v>
      </c>
      <c r="N338" s="28" t="n">
        <v>8.61</v>
      </c>
      <c r="O338" s="18" t="n">
        <v>33</v>
      </c>
      <c r="P338" s="18" t="n">
        <v>-1.75</v>
      </c>
      <c r="Q338" s="18" t="n">
        <v>-0.93</v>
      </c>
    </row>
    <row r="339" customFormat="false" ht="15" hidden="false" customHeight="false" outlineLevel="0" collapsed="false">
      <c r="A339" s="18" t="n">
        <v>85</v>
      </c>
      <c r="B339" s="18" t="s">
        <v>678</v>
      </c>
      <c r="C339" s="18" t="s">
        <v>634</v>
      </c>
      <c r="D339" s="18" t="s">
        <v>492</v>
      </c>
      <c r="E339" s="18" t="n">
        <v>1</v>
      </c>
      <c r="F339" s="18" t="n">
        <v>0</v>
      </c>
      <c r="G339" s="20" t="n">
        <v>-0.0799</v>
      </c>
      <c r="H339" s="20" t="n">
        <v>0.0097</v>
      </c>
      <c r="I339" s="28" t="n">
        <v>229.5</v>
      </c>
      <c r="J339" s="28" t="n">
        <v>1458.8</v>
      </c>
      <c r="K339" s="28" t="n">
        <v>151.5</v>
      </c>
      <c r="L339" s="29" t="n">
        <v>0.676</v>
      </c>
      <c r="M339" s="19" t="n">
        <v>0.789</v>
      </c>
      <c r="N339" s="28" t="n">
        <v>7.66</v>
      </c>
      <c r="O339" s="18" t="n">
        <v>33</v>
      </c>
      <c r="P339" s="18" t="n">
        <v>-1.75</v>
      </c>
      <c r="Q339" s="18" t="n">
        <v>-0.93</v>
      </c>
    </row>
    <row r="340" customFormat="false" ht="15" hidden="false" customHeight="false" outlineLevel="0" collapsed="false">
      <c r="A340" s="18" t="n">
        <v>85</v>
      </c>
      <c r="B340" s="18" t="s">
        <v>679</v>
      </c>
      <c r="C340" s="18" t="s">
        <v>634</v>
      </c>
      <c r="D340" s="18" t="s">
        <v>494</v>
      </c>
      <c r="E340" s="18" t="n">
        <v>0</v>
      </c>
      <c r="F340" s="18" t="n">
        <v>1</v>
      </c>
      <c r="G340" s="20" t="n">
        <v>0.1047</v>
      </c>
      <c r="H340" s="20" t="n">
        <v>0.0068</v>
      </c>
      <c r="I340" s="28" t="n">
        <v>230.7</v>
      </c>
      <c r="J340" s="28" t="n">
        <v>1343</v>
      </c>
      <c r="K340" s="28" t="n">
        <v>157</v>
      </c>
      <c r="L340" s="29" t="n">
        <v>0.851</v>
      </c>
      <c r="M340" s="19" t="n">
        <v>0.905</v>
      </c>
      <c r="N340" s="28" t="n">
        <v>8.22</v>
      </c>
      <c r="O340" s="18" t="n">
        <v>32</v>
      </c>
      <c r="P340" s="18" t="n">
        <v>-1.75</v>
      </c>
      <c r="Q340" s="18" t="n">
        <v>-0.93</v>
      </c>
    </row>
    <row r="341" customFormat="false" ht="15" hidden="false" customHeight="false" outlineLevel="0" collapsed="false">
      <c r="A341" s="18" t="n">
        <v>85</v>
      </c>
      <c r="B341" s="18" t="s">
        <v>679</v>
      </c>
      <c r="C341" s="18" t="s">
        <v>634</v>
      </c>
      <c r="D341" s="18" t="s">
        <v>495</v>
      </c>
      <c r="E341" s="18" t="n">
        <v>1</v>
      </c>
      <c r="F341" s="18" t="n">
        <v>1</v>
      </c>
      <c r="G341" s="20" t="n">
        <v>0.0918</v>
      </c>
      <c r="H341" s="20" t="n">
        <v>0.0057</v>
      </c>
      <c r="I341" s="28" t="n">
        <v>226.9</v>
      </c>
      <c r="J341" s="28" t="n">
        <v>1457.4</v>
      </c>
      <c r="K341" s="28" t="n">
        <v>164.6</v>
      </c>
      <c r="L341" s="18"/>
      <c r="M341" s="19" t="n">
        <v>0.715</v>
      </c>
      <c r="N341" s="28" t="n">
        <v>8.75</v>
      </c>
      <c r="O341" s="18" t="n">
        <v>32</v>
      </c>
      <c r="P341" s="18" t="n">
        <v>-1.75</v>
      </c>
      <c r="Q341" s="18" t="n">
        <v>-0.93</v>
      </c>
    </row>
    <row r="342" customFormat="false" ht="15" hidden="false" customHeight="false" outlineLevel="0" collapsed="false">
      <c r="A342" s="18" t="n">
        <v>86</v>
      </c>
      <c r="B342" s="18" t="s">
        <v>680</v>
      </c>
      <c r="C342" s="18" t="s">
        <v>672</v>
      </c>
      <c r="D342" s="18" t="s">
        <v>491</v>
      </c>
      <c r="E342" s="18" t="n">
        <v>0</v>
      </c>
      <c r="F342" s="18" t="n">
        <v>0</v>
      </c>
      <c r="G342" s="20" t="n">
        <v>-0.0873</v>
      </c>
      <c r="H342" s="20" t="n">
        <v>0.009</v>
      </c>
      <c r="I342" s="28" t="n">
        <v>223.2</v>
      </c>
      <c r="J342" s="28" t="n">
        <v>1928.4</v>
      </c>
      <c r="K342" s="28" t="n">
        <v>151.3</v>
      </c>
      <c r="L342" s="29" t="n">
        <v>1.752</v>
      </c>
      <c r="M342" s="19" t="n">
        <v>1.201</v>
      </c>
      <c r="N342" s="28" t="n">
        <v>9.89</v>
      </c>
      <c r="O342" s="18" t="n">
        <v>32</v>
      </c>
      <c r="P342" s="18" t="n">
        <v>-2</v>
      </c>
      <c r="Q342" s="18" t="n">
        <v>-0.93</v>
      </c>
    </row>
    <row r="343" customFormat="false" ht="15" hidden="false" customHeight="false" outlineLevel="0" collapsed="false">
      <c r="A343" s="18" t="n">
        <v>86</v>
      </c>
      <c r="B343" s="18" t="s">
        <v>680</v>
      </c>
      <c r="C343" s="18" t="s">
        <v>672</v>
      </c>
      <c r="D343" s="18" t="s">
        <v>492</v>
      </c>
      <c r="E343" s="18" t="n">
        <v>1</v>
      </c>
      <c r="F343" s="18" t="n">
        <v>0</v>
      </c>
      <c r="G343" s="20" t="n">
        <v>-0.0787</v>
      </c>
      <c r="H343" s="20" t="n">
        <v>0.0077</v>
      </c>
      <c r="I343" s="28" t="n">
        <v>237.6</v>
      </c>
      <c r="J343" s="28" t="n">
        <v>2049.7</v>
      </c>
      <c r="K343" s="28" t="n">
        <v>152</v>
      </c>
      <c r="L343" s="18"/>
      <c r="M343" s="19" t="n">
        <v>0.802</v>
      </c>
      <c r="N343" s="28" t="n">
        <v>12.42</v>
      </c>
      <c r="O343" s="18" t="n">
        <v>32</v>
      </c>
      <c r="P343" s="18" t="n">
        <v>-2</v>
      </c>
      <c r="Q343" s="18" t="n">
        <v>-0.93</v>
      </c>
    </row>
    <row r="344" customFormat="false" ht="15" hidden="false" customHeight="false" outlineLevel="0" collapsed="false">
      <c r="A344" s="18" t="n">
        <v>86</v>
      </c>
      <c r="B344" s="18" t="s">
        <v>681</v>
      </c>
      <c r="C344" s="18" t="s">
        <v>672</v>
      </c>
      <c r="D344" s="18" t="s">
        <v>494</v>
      </c>
      <c r="E344" s="18" t="n">
        <v>0</v>
      </c>
      <c r="F344" s="18" t="n">
        <v>1</v>
      </c>
      <c r="G344" s="20" t="n">
        <v>0.1613</v>
      </c>
      <c r="H344" s="20" t="n">
        <v>0.009</v>
      </c>
      <c r="I344" s="28" t="n">
        <v>228.2</v>
      </c>
      <c r="J344" s="28" t="n">
        <v>1929.3</v>
      </c>
      <c r="K344" s="28" t="n">
        <v>149.7</v>
      </c>
      <c r="L344" s="29" t="n">
        <v>3.237</v>
      </c>
      <c r="M344" s="19" t="n">
        <v>1.746</v>
      </c>
      <c r="N344" s="28" t="n">
        <v>10.15</v>
      </c>
      <c r="O344" s="18" t="n">
        <v>32</v>
      </c>
      <c r="P344" s="18" t="n">
        <v>-2</v>
      </c>
      <c r="Q344" s="18" t="n">
        <v>-0.93</v>
      </c>
    </row>
    <row r="345" customFormat="false" ht="15" hidden="false" customHeight="false" outlineLevel="0" collapsed="false">
      <c r="A345" s="18" t="n">
        <v>86</v>
      </c>
      <c r="B345" s="18" t="s">
        <v>681</v>
      </c>
      <c r="C345" s="18" t="s">
        <v>672</v>
      </c>
      <c r="D345" s="18" t="s">
        <v>495</v>
      </c>
      <c r="E345" s="18" t="n">
        <v>1</v>
      </c>
      <c r="F345" s="18" t="n">
        <v>1</v>
      </c>
      <c r="G345" s="20" t="n">
        <v>0.1369</v>
      </c>
      <c r="H345" s="20" t="n">
        <v>0.01</v>
      </c>
      <c r="I345" s="28" t="n">
        <v>235.8</v>
      </c>
      <c r="J345" s="28" t="n">
        <v>2048.7</v>
      </c>
      <c r="K345" s="28" t="n">
        <v>154.7</v>
      </c>
      <c r="L345" s="29" t="n">
        <v>3.675</v>
      </c>
      <c r="M345" s="19" t="n">
        <v>1.631</v>
      </c>
      <c r="N345" s="28" t="n">
        <v>13.54</v>
      </c>
      <c r="O345" s="18" t="n">
        <v>32</v>
      </c>
      <c r="P345" s="18" t="n">
        <v>-2</v>
      </c>
      <c r="Q345" s="18" t="n">
        <v>-0.93</v>
      </c>
    </row>
    <row r="346" customFormat="false" ht="15" hidden="false" customHeight="false" outlineLevel="0" collapsed="false">
      <c r="A346" s="18" t="n">
        <v>87</v>
      </c>
      <c r="B346" s="18" t="s">
        <v>682</v>
      </c>
      <c r="C346" s="18" t="s">
        <v>634</v>
      </c>
      <c r="D346" s="18" t="s">
        <v>491</v>
      </c>
      <c r="E346" s="18" t="n">
        <v>0</v>
      </c>
      <c r="F346" s="18" t="n">
        <v>0</v>
      </c>
      <c r="G346" s="20" t="n">
        <v>-0.0664</v>
      </c>
      <c r="H346" s="20" t="n">
        <v>0.0044</v>
      </c>
      <c r="I346" s="28" t="n">
        <v>219.9</v>
      </c>
      <c r="J346" s="28" t="n">
        <v>1343</v>
      </c>
      <c r="K346" s="28" t="n">
        <v>149.7</v>
      </c>
      <c r="L346" s="29" t="n">
        <v>4.208</v>
      </c>
      <c r="M346" s="19" t="n">
        <v>0.614</v>
      </c>
      <c r="N346" s="28" t="n">
        <v>9.16</v>
      </c>
      <c r="O346" s="18" t="n">
        <v>33</v>
      </c>
      <c r="P346" s="18" t="n">
        <v>-1.75</v>
      </c>
      <c r="Q346" s="18" t="n">
        <v>-0.93</v>
      </c>
    </row>
    <row r="347" customFormat="false" ht="15" hidden="false" customHeight="false" outlineLevel="0" collapsed="false">
      <c r="A347" s="18" t="n">
        <v>87</v>
      </c>
      <c r="B347" s="18" t="s">
        <v>682</v>
      </c>
      <c r="C347" s="18" t="s">
        <v>634</v>
      </c>
      <c r="D347" s="18" t="s">
        <v>492</v>
      </c>
      <c r="E347" s="18" t="n">
        <v>1</v>
      </c>
      <c r="F347" s="18" t="n">
        <v>0</v>
      </c>
      <c r="G347" s="20" t="n">
        <v>-0.069</v>
      </c>
      <c r="H347" s="20" t="n">
        <v>0.0044</v>
      </c>
      <c r="I347" s="28" t="n">
        <v>213.1</v>
      </c>
      <c r="J347" s="28" t="n">
        <v>1461.4</v>
      </c>
      <c r="K347" s="28" t="n">
        <v>142.9</v>
      </c>
      <c r="L347" s="29" t="n">
        <v>3.423</v>
      </c>
      <c r="M347" s="19" t="n">
        <v>0.897</v>
      </c>
      <c r="N347" s="28" t="n">
        <v>9.56</v>
      </c>
      <c r="O347" s="18" t="n">
        <v>33</v>
      </c>
      <c r="P347" s="18" t="n">
        <v>-1.75</v>
      </c>
      <c r="Q347" s="18" t="n">
        <v>-0.93</v>
      </c>
    </row>
    <row r="348" customFormat="false" ht="15" hidden="false" customHeight="false" outlineLevel="0" collapsed="false">
      <c r="A348" s="18" t="n">
        <v>87</v>
      </c>
      <c r="B348" s="18" t="s">
        <v>683</v>
      </c>
      <c r="C348" s="18" t="s">
        <v>634</v>
      </c>
      <c r="D348" s="18" t="s">
        <v>494</v>
      </c>
      <c r="E348" s="18" t="n">
        <v>0</v>
      </c>
      <c r="F348" s="18" t="n">
        <v>1</v>
      </c>
      <c r="G348" s="20" t="n">
        <v>0.1191</v>
      </c>
      <c r="H348" s="20" t="n">
        <v>0.0056</v>
      </c>
      <c r="I348" s="28" t="n">
        <v>231.8</v>
      </c>
      <c r="J348" s="28" t="n">
        <v>1335.4</v>
      </c>
      <c r="K348" s="28" t="n">
        <v>145.2</v>
      </c>
      <c r="L348" s="29" t="n">
        <v>1.652</v>
      </c>
      <c r="M348" s="19" t="n">
        <v>1.014</v>
      </c>
      <c r="N348" s="28" t="n">
        <v>10.48</v>
      </c>
      <c r="O348" s="18" t="n">
        <v>33</v>
      </c>
      <c r="P348" s="18" t="n">
        <v>-1.75</v>
      </c>
      <c r="Q348" s="18" t="n">
        <v>-0.93</v>
      </c>
    </row>
    <row r="349" customFormat="false" ht="15" hidden="false" customHeight="false" outlineLevel="0" collapsed="false">
      <c r="A349" s="18" t="n">
        <v>87</v>
      </c>
      <c r="B349" s="18" t="s">
        <v>683</v>
      </c>
      <c r="C349" s="18" t="s">
        <v>634</v>
      </c>
      <c r="D349" s="18" t="s">
        <v>495</v>
      </c>
      <c r="E349" s="18" t="n">
        <v>1</v>
      </c>
      <c r="F349" s="18" t="n">
        <v>1</v>
      </c>
      <c r="G349" s="20" t="n">
        <v>0.107</v>
      </c>
      <c r="H349" s="20" t="n">
        <v>0.0048</v>
      </c>
      <c r="I349" s="28" t="n">
        <v>227.7</v>
      </c>
      <c r="J349" s="28" t="n">
        <v>1451.2</v>
      </c>
      <c r="K349" s="28" t="n">
        <v>141.5</v>
      </c>
      <c r="L349" s="29" t="n">
        <v>1.566</v>
      </c>
      <c r="M349" s="19" t="n">
        <v>0.674</v>
      </c>
      <c r="N349" s="28" t="n">
        <v>8.8</v>
      </c>
      <c r="O349" s="18" t="n">
        <v>33</v>
      </c>
      <c r="P349" s="18" t="n">
        <v>-1.75</v>
      </c>
      <c r="Q349" s="18" t="n">
        <v>-0.93</v>
      </c>
    </row>
    <row r="350" customFormat="false" ht="15" hidden="false" customHeight="false" outlineLevel="0" collapsed="false">
      <c r="A350" s="18" t="n">
        <v>88</v>
      </c>
      <c r="B350" s="18" t="s">
        <v>684</v>
      </c>
      <c r="C350" s="18" t="s">
        <v>577</v>
      </c>
      <c r="D350" s="18" t="s">
        <v>491</v>
      </c>
      <c r="E350" s="18" t="n">
        <v>0</v>
      </c>
      <c r="F350" s="18" t="n">
        <v>0</v>
      </c>
      <c r="G350" s="20" t="n">
        <v>-0.0498</v>
      </c>
      <c r="H350" s="20" t="n">
        <v>0.0066</v>
      </c>
      <c r="I350" s="28" t="n">
        <v>219</v>
      </c>
      <c r="J350" s="28" t="n">
        <v>870.3</v>
      </c>
      <c r="K350" s="28" t="n">
        <v>155</v>
      </c>
      <c r="L350" s="18"/>
      <c r="M350" s="19" t="n">
        <v>1.914</v>
      </c>
      <c r="N350" s="28" t="n">
        <v>8.6</v>
      </c>
      <c r="O350" s="18" t="n">
        <v>35</v>
      </c>
      <c r="P350" s="18" t="n">
        <v>-1.5</v>
      </c>
      <c r="Q350" s="18" t="n">
        <v>-0.93</v>
      </c>
    </row>
    <row r="351" customFormat="false" ht="15" hidden="false" customHeight="false" outlineLevel="0" collapsed="false">
      <c r="A351" s="18" t="n">
        <v>88</v>
      </c>
      <c r="B351" s="18" t="s">
        <v>684</v>
      </c>
      <c r="C351" s="18" t="s">
        <v>577</v>
      </c>
      <c r="D351" s="18" t="s">
        <v>492</v>
      </c>
      <c r="E351" s="18" t="n">
        <v>1</v>
      </c>
      <c r="F351" s="18" t="n">
        <v>0</v>
      </c>
      <c r="G351" s="20" t="n">
        <v>-0.0592</v>
      </c>
      <c r="H351" s="20" t="n">
        <v>0.0064</v>
      </c>
      <c r="I351" s="28" t="n">
        <v>223.9</v>
      </c>
      <c r="J351" s="28" t="n">
        <v>982.1</v>
      </c>
      <c r="K351" s="28" t="n">
        <v>154.9</v>
      </c>
      <c r="L351" s="29" t="n">
        <v>4.25</v>
      </c>
      <c r="M351" s="19" t="n">
        <v>1.594</v>
      </c>
      <c r="N351" s="28" t="n">
        <v>10.62</v>
      </c>
      <c r="O351" s="18" t="n">
        <v>35</v>
      </c>
      <c r="P351" s="18" t="n">
        <v>-1.5</v>
      </c>
      <c r="Q351" s="18" t="n">
        <v>-0.93</v>
      </c>
    </row>
    <row r="352" customFormat="false" ht="15" hidden="false" customHeight="false" outlineLevel="0" collapsed="false">
      <c r="A352" s="18" t="n">
        <v>88</v>
      </c>
      <c r="B352" s="18" t="s">
        <v>685</v>
      </c>
      <c r="C352" s="18" t="s">
        <v>577</v>
      </c>
      <c r="D352" s="18" t="s">
        <v>494</v>
      </c>
      <c r="E352" s="18" t="n">
        <v>0</v>
      </c>
      <c r="F352" s="18" t="n">
        <v>1</v>
      </c>
      <c r="G352" s="20" t="n">
        <v>0.0883</v>
      </c>
      <c r="H352" s="20" t="n">
        <v>0.0053</v>
      </c>
      <c r="I352" s="28" t="n">
        <v>203.7</v>
      </c>
      <c r="J352" s="28" t="n">
        <v>875.1</v>
      </c>
      <c r="K352" s="28" t="n">
        <v>175.6</v>
      </c>
      <c r="L352" s="29" t="n">
        <v>2.983</v>
      </c>
      <c r="M352" s="19" t="n">
        <v>1.317</v>
      </c>
      <c r="N352" s="28" t="n">
        <v>6.78</v>
      </c>
      <c r="O352" s="18" t="n">
        <v>38</v>
      </c>
      <c r="P352" s="18" t="n">
        <v>-1.5</v>
      </c>
      <c r="Q352" s="18" t="n">
        <v>-0.93</v>
      </c>
    </row>
    <row r="353" customFormat="false" ht="15" hidden="false" customHeight="false" outlineLevel="0" collapsed="false">
      <c r="A353" s="18" t="n">
        <v>88</v>
      </c>
      <c r="B353" s="18" t="s">
        <v>685</v>
      </c>
      <c r="C353" s="18" t="s">
        <v>577</v>
      </c>
      <c r="D353" s="18" t="s">
        <v>495</v>
      </c>
      <c r="E353" s="18" t="n">
        <v>1</v>
      </c>
      <c r="F353" s="18" t="n">
        <v>1</v>
      </c>
      <c r="G353" s="20" t="n">
        <v>0.0556</v>
      </c>
      <c r="H353" s="20" t="n">
        <v>0.0045</v>
      </c>
      <c r="I353" s="28" t="n">
        <v>212.7</v>
      </c>
      <c r="J353" s="28" t="n">
        <v>985.4</v>
      </c>
      <c r="K353" s="28" t="n">
        <v>177.6</v>
      </c>
      <c r="L353" s="29" t="n">
        <v>0.661</v>
      </c>
      <c r="M353" s="19" t="n">
        <v>0.979</v>
      </c>
      <c r="N353" s="28" t="n">
        <v>7.29</v>
      </c>
      <c r="O353" s="18" t="n">
        <v>38</v>
      </c>
      <c r="P353" s="18" t="n">
        <v>-1.5</v>
      </c>
      <c r="Q353" s="18" t="n">
        <v>-0.93</v>
      </c>
    </row>
    <row r="354" customFormat="false" ht="15" hidden="false" customHeight="false" outlineLevel="0" collapsed="false">
      <c r="A354" s="18" t="n">
        <v>89</v>
      </c>
      <c r="B354" s="18" t="s">
        <v>686</v>
      </c>
      <c r="C354" s="18" t="s">
        <v>634</v>
      </c>
      <c r="D354" s="18" t="s">
        <v>491</v>
      </c>
      <c r="E354" s="18" t="n">
        <v>0</v>
      </c>
      <c r="F354" s="18" t="n">
        <v>0</v>
      </c>
      <c r="G354" s="20" t="n">
        <v>-0.074</v>
      </c>
      <c r="H354" s="20" t="n">
        <v>0.0072</v>
      </c>
      <c r="I354" s="28" t="n">
        <v>224.3</v>
      </c>
      <c r="J354" s="28" t="n">
        <v>1344.6</v>
      </c>
      <c r="K354" s="28" t="n">
        <v>144.7</v>
      </c>
      <c r="L354" s="29" t="n">
        <v>3.157</v>
      </c>
      <c r="M354" s="19" t="n">
        <v>0.894</v>
      </c>
      <c r="N354" s="28" t="n">
        <v>8.43</v>
      </c>
      <c r="O354" s="18" t="n">
        <v>33</v>
      </c>
      <c r="P354" s="18" t="n">
        <v>-1.75</v>
      </c>
      <c r="Q354" s="18" t="n">
        <v>-0.93</v>
      </c>
    </row>
    <row r="355" customFormat="false" ht="15" hidden="false" customHeight="false" outlineLevel="0" collapsed="false">
      <c r="A355" s="18" t="n">
        <v>89</v>
      </c>
      <c r="B355" s="18" t="s">
        <v>686</v>
      </c>
      <c r="C355" s="18" t="s">
        <v>634</v>
      </c>
      <c r="D355" s="18" t="s">
        <v>492</v>
      </c>
      <c r="E355" s="18" t="n">
        <v>1</v>
      </c>
      <c r="F355" s="18" t="n">
        <v>0</v>
      </c>
      <c r="G355" s="20" t="n">
        <v>-0.0797</v>
      </c>
      <c r="H355" s="20" t="n">
        <v>0.0054</v>
      </c>
      <c r="I355" s="28" t="n">
        <v>221.7</v>
      </c>
      <c r="J355" s="28" t="n">
        <v>1459.2</v>
      </c>
      <c r="K355" s="28" t="n">
        <v>156.1</v>
      </c>
      <c r="L355" s="29" t="n">
        <v>2.976</v>
      </c>
      <c r="M355" s="19" t="n">
        <v>0.869</v>
      </c>
      <c r="N355" s="28" t="n">
        <v>8.56</v>
      </c>
      <c r="O355" s="18" t="n">
        <v>33</v>
      </c>
      <c r="P355" s="18" t="n">
        <v>-1.75</v>
      </c>
      <c r="Q355" s="18" t="n">
        <v>-0.93</v>
      </c>
    </row>
    <row r="356" customFormat="false" ht="15" hidden="false" customHeight="false" outlineLevel="0" collapsed="false">
      <c r="A356" s="18" t="n">
        <v>89</v>
      </c>
      <c r="B356" s="18" t="s">
        <v>687</v>
      </c>
      <c r="C356" s="18" t="s">
        <v>634</v>
      </c>
      <c r="D356" s="18" t="s">
        <v>494</v>
      </c>
      <c r="E356" s="18" t="n">
        <v>0</v>
      </c>
      <c r="F356" s="18" t="n">
        <v>1</v>
      </c>
      <c r="G356" s="20" t="n">
        <v>0.1106</v>
      </c>
      <c r="H356" s="20" t="n">
        <v>0.0077</v>
      </c>
      <c r="I356" s="28" t="n">
        <v>230.9</v>
      </c>
      <c r="J356" s="28" t="n">
        <v>1342.7</v>
      </c>
      <c r="K356" s="28" t="n">
        <v>149.7</v>
      </c>
      <c r="L356" s="29" t="n">
        <v>2.794</v>
      </c>
      <c r="M356" s="19" t="n">
        <v>0.734</v>
      </c>
      <c r="N356" s="28" t="n">
        <v>8.31</v>
      </c>
      <c r="O356" s="18" t="n">
        <v>33</v>
      </c>
      <c r="P356" s="18" t="n">
        <v>-1.75</v>
      </c>
      <c r="Q356" s="18" t="n">
        <v>-0.93</v>
      </c>
    </row>
    <row r="357" customFormat="false" ht="15" hidden="false" customHeight="false" outlineLevel="0" collapsed="false">
      <c r="A357" s="18" t="n">
        <v>89</v>
      </c>
      <c r="B357" s="18" t="s">
        <v>687</v>
      </c>
      <c r="C357" s="18" t="s">
        <v>634</v>
      </c>
      <c r="D357" s="18" t="s">
        <v>495</v>
      </c>
      <c r="E357" s="18" t="n">
        <v>1</v>
      </c>
      <c r="F357" s="18" t="n">
        <v>1</v>
      </c>
      <c r="G357" s="20" t="n">
        <v>0.1053</v>
      </c>
      <c r="H357" s="20" t="n">
        <v>0.0059</v>
      </c>
      <c r="I357" s="28" t="n">
        <v>228.1</v>
      </c>
      <c r="J357" s="28" t="n">
        <v>1458.9</v>
      </c>
      <c r="K357" s="28" t="n">
        <v>144.8</v>
      </c>
      <c r="L357" s="29" t="n">
        <v>0.662</v>
      </c>
      <c r="M357" s="19" t="n">
        <v>0.925</v>
      </c>
      <c r="N357" s="28" t="n">
        <v>8.49</v>
      </c>
      <c r="O357" s="18" t="n">
        <v>33</v>
      </c>
      <c r="P357" s="18" t="n">
        <v>-1.75</v>
      </c>
      <c r="Q357" s="18" t="n">
        <v>-0.93</v>
      </c>
    </row>
    <row r="358" customFormat="false" ht="15" hidden="false" customHeight="false" outlineLevel="0" collapsed="false">
      <c r="A358" s="18" t="n">
        <v>90</v>
      </c>
      <c r="B358" s="18" t="s">
        <v>688</v>
      </c>
      <c r="C358" s="18" t="s">
        <v>672</v>
      </c>
      <c r="D358" s="18" t="s">
        <v>491</v>
      </c>
      <c r="E358" s="18" t="n">
        <v>0</v>
      </c>
      <c r="F358" s="18" t="n">
        <v>0</v>
      </c>
      <c r="G358" s="20" t="n">
        <v>-0.0812</v>
      </c>
      <c r="H358" s="20" t="n">
        <v>0.008</v>
      </c>
      <c r="I358" s="28" t="n">
        <v>233.3</v>
      </c>
      <c r="J358" s="28" t="n">
        <v>1934.1</v>
      </c>
      <c r="K358" s="28" t="n">
        <v>142.9</v>
      </c>
      <c r="L358" s="18"/>
      <c r="M358" s="19" t="n">
        <v>1.471</v>
      </c>
      <c r="N358" s="28" t="n">
        <v>11.15</v>
      </c>
      <c r="O358" s="18" t="n">
        <v>32</v>
      </c>
      <c r="P358" s="18" t="n">
        <v>-2</v>
      </c>
      <c r="Q358" s="18" t="n">
        <v>-0.93</v>
      </c>
    </row>
    <row r="359" customFormat="false" ht="15" hidden="false" customHeight="false" outlineLevel="0" collapsed="false">
      <c r="A359" s="18" t="n">
        <v>90</v>
      </c>
      <c r="B359" s="18" t="s">
        <v>688</v>
      </c>
      <c r="C359" s="18" t="s">
        <v>672</v>
      </c>
      <c r="D359" s="18" t="s">
        <v>492</v>
      </c>
      <c r="E359" s="18" t="n">
        <v>1</v>
      </c>
      <c r="F359" s="18" t="n">
        <v>0</v>
      </c>
      <c r="G359" s="20" t="n">
        <v>-0.0751</v>
      </c>
      <c r="H359" s="20" t="n">
        <v>0.0066</v>
      </c>
      <c r="I359" s="28" t="n">
        <v>243.1</v>
      </c>
      <c r="J359" s="28" t="n">
        <v>2053.8</v>
      </c>
      <c r="K359" s="28" t="n">
        <v>144.2</v>
      </c>
      <c r="L359" s="29" t="n">
        <v>3.198</v>
      </c>
      <c r="M359" s="19" t="n">
        <v>1.278</v>
      </c>
      <c r="N359" s="28" t="n">
        <v>10.38</v>
      </c>
      <c r="O359" s="18" t="n">
        <v>32</v>
      </c>
      <c r="P359" s="18" t="n">
        <v>-2</v>
      </c>
      <c r="Q359" s="18" t="n">
        <v>-0.93</v>
      </c>
    </row>
    <row r="360" customFormat="false" ht="15" hidden="false" customHeight="false" outlineLevel="0" collapsed="false">
      <c r="A360" s="18" t="n">
        <v>90</v>
      </c>
      <c r="B360" s="18" t="s">
        <v>689</v>
      </c>
      <c r="C360" s="18" t="s">
        <v>672</v>
      </c>
      <c r="D360" s="18" t="s">
        <v>494</v>
      </c>
      <c r="E360" s="18" t="n">
        <v>0</v>
      </c>
      <c r="F360" s="18" t="n">
        <v>1</v>
      </c>
      <c r="G360" s="20" t="n">
        <v>0.1568</v>
      </c>
      <c r="H360" s="20" t="n">
        <v>0.0058</v>
      </c>
      <c r="I360" s="28" t="n">
        <v>251.2</v>
      </c>
      <c r="J360" s="28" t="n">
        <v>1929.2</v>
      </c>
      <c r="K360" s="28" t="n">
        <v>135.4</v>
      </c>
      <c r="L360" s="18"/>
      <c r="M360" s="19" t="n">
        <v>1.273</v>
      </c>
      <c r="N360" s="28" t="n">
        <v>11.11</v>
      </c>
      <c r="O360" s="18" t="n">
        <v>29</v>
      </c>
      <c r="P360" s="18" t="n">
        <v>-2</v>
      </c>
      <c r="Q360" s="18" t="n">
        <v>-0.93</v>
      </c>
    </row>
    <row r="361" customFormat="false" ht="15" hidden="false" customHeight="false" outlineLevel="0" collapsed="false">
      <c r="A361" s="18" t="n">
        <v>90</v>
      </c>
      <c r="B361" s="18" t="s">
        <v>689</v>
      </c>
      <c r="C361" s="18" t="s">
        <v>672</v>
      </c>
      <c r="D361" s="18" t="s">
        <v>495</v>
      </c>
      <c r="E361" s="18" t="n">
        <v>1</v>
      </c>
      <c r="F361" s="18" t="n">
        <v>1</v>
      </c>
      <c r="G361" s="20" t="n">
        <v>0.1451</v>
      </c>
      <c r="H361" s="20" t="n">
        <v>0.0076</v>
      </c>
      <c r="I361" s="28" t="n">
        <v>232.1</v>
      </c>
      <c r="J361" s="28" t="n">
        <v>2051.8</v>
      </c>
      <c r="K361" s="28" t="n">
        <v>137.9</v>
      </c>
      <c r="L361" s="29" t="n">
        <v>1.571</v>
      </c>
      <c r="M361" s="19" t="n">
        <v>1.199</v>
      </c>
      <c r="N361" s="28" t="n">
        <v>8.59</v>
      </c>
      <c r="O361" s="18" t="n">
        <v>29</v>
      </c>
      <c r="P361" s="18" t="n">
        <v>-2</v>
      </c>
      <c r="Q361" s="18" t="n">
        <v>-0.93</v>
      </c>
    </row>
    <row r="362" customFormat="false" ht="15" hidden="false" customHeight="false" outlineLevel="0" collapsed="false">
      <c r="A362" s="18" t="n">
        <v>91</v>
      </c>
      <c r="B362" s="18" t="s">
        <v>690</v>
      </c>
      <c r="C362" s="18" t="s">
        <v>691</v>
      </c>
      <c r="D362" s="18" t="s">
        <v>491</v>
      </c>
      <c r="E362" s="18" t="n">
        <v>0</v>
      </c>
      <c r="F362" s="18" t="n">
        <v>0</v>
      </c>
      <c r="G362" s="20" t="n">
        <v>-0.0803</v>
      </c>
      <c r="H362" s="20" t="n">
        <v>0.0074</v>
      </c>
      <c r="I362" s="28" t="n">
        <v>223.5</v>
      </c>
      <c r="J362" s="28" t="n">
        <v>1345.2</v>
      </c>
      <c r="K362" s="28" t="n">
        <v>182.8</v>
      </c>
      <c r="L362" s="18"/>
      <c r="M362" s="19" t="n">
        <v>0.944</v>
      </c>
      <c r="N362" s="28" t="n">
        <v>10.6</v>
      </c>
      <c r="O362" s="18" t="n">
        <v>37</v>
      </c>
      <c r="P362" s="18" t="n">
        <v>-1.75</v>
      </c>
      <c r="Q362" s="18" t="n">
        <v>-0.93</v>
      </c>
    </row>
    <row r="363" customFormat="false" ht="15" hidden="false" customHeight="false" outlineLevel="0" collapsed="false">
      <c r="A363" s="18" t="n">
        <v>91</v>
      </c>
      <c r="B363" s="18" t="s">
        <v>690</v>
      </c>
      <c r="C363" s="18" t="s">
        <v>691</v>
      </c>
      <c r="D363" s="18" t="s">
        <v>492</v>
      </c>
      <c r="E363" s="18" t="n">
        <v>1</v>
      </c>
      <c r="F363" s="18" t="n">
        <v>0</v>
      </c>
      <c r="G363" s="20" t="n">
        <v>-0.0596</v>
      </c>
      <c r="H363" s="20" t="n">
        <v>0.0078</v>
      </c>
      <c r="I363" s="28" t="n">
        <v>224.8</v>
      </c>
      <c r="J363" s="28" t="n">
        <v>1462.8</v>
      </c>
      <c r="K363" s="28" t="n">
        <v>179.9</v>
      </c>
      <c r="L363" s="29" t="n">
        <v>1.172</v>
      </c>
      <c r="M363" s="19" t="n">
        <v>1.076</v>
      </c>
      <c r="N363" s="28" t="n">
        <v>11.6</v>
      </c>
      <c r="O363" s="18" t="n">
        <v>37</v>
      </c>
      <c r="P363" s="18" t="n">
        <v>-1.75</v>
      </c>
      <c r="Q363" s="18" t="n">
        <v>-0.93</v>
      </c>
    </row>
    <row r="364" customFormat="false" ht="15" hidden="false" customHeight="false" outlineLevel="0" collapsed="false">
      <c r="A364" s="18" t="n">
        <v>91</v>
      </c>
      <c r="B364" s="18" t="s">
        <v>692</v>
      </c>
      <c r="C364" s="18" t="s">
        <v>691</v>
      </c>
      <c r="D364" s="18" t="s">
        <v>494</v>
      </c>
      <c r="E364" s="18" t="n">
        <v>0</v>
      </c>
      <c r="F364" s="18" t="n">
        <v>1</v>
      </c>
      <c r="G364" s="20" t="n">
        <v>0.1123</v>
      </c>
      <c r="H364" s="20" t="n">
        <v>0.0074</v>
      </c>
      <c r="I364" s="28" t="n">
        <v>230.1</v>
      </c>
      <c r="J364" s="28" t="n">
        <v>1342.1</v>
      </c>
      <c r="K364" s="28" t="n">
        <v>173.9</v>
      </c>
      <c r="L364" s="29" t="n">
        <v>2.769</v>
      </c>
      <c r="M364" s="19" t="n">
        <v>0.914</v>
      </c>
      <c r="N364" s="28" t="n">
        <v>8.91</v>
      </c>
      <c r="O364" s="18" t="n">
        <v>36</v>
      </c>
      <c r="P364" s="18" t="n">
        <v>-1.75</v>
      </c>
      <c r="Q364" s="18" t="n">
        <v>-0.93</v>
      </c>
    </row>
    <row r="365" customFormat="false" ht="15" hidden="false" customHeight="false" outlineLevel="0" collapsed="false">
      <c r="A365" s="18" t="n">
        <v>91</v>
      </c>
      <c r="B365" s="18" t="s">
        <v>692</v>
      </c>
      <c r="C365" s="18" t="s">
        <v>691</v>
      </c>
      <c r="D365" s="18" t="s">
        <v>495</v>
      </c>
      <c r="E365" s="18" t="n">
        <v>1</v>
      </c>
      <c r="F365" s="18" t="n">
        <v>1</v>
      </c>
      <c r="G365" s="20" t="n">
        <v>0.097</v>
      </c>
      <c r="H365" s="20" t="n">
        <v>0.0059</v>
      </c>
      <c r="I365" s="28" t="n">
        <v>243.5</v>
      </c>
      <c r="J365" s="28" t="n">
        <v>1456</v>
      </c>
      <c r="K365" s="28" t="n">
        <v>188.3</v>
      </c>
      <c r="L365" s="29" t="n">
        <v>4.166</v>
      </c>
      <c r="M365" s="19" t="n">
        <v>0.918</v>
      </c>
      <c r="N365" s="28" t="n">
        <v>9.61</v>
      </c>
      <c r="O365" s="18" t="n">
        <v>36</v>
      </c>
      <c r="P365" s="18" t="n">
        <v>-1.75</v>
      </c>
      <c r="Q365" s="18" t="n">
        <v>-0.93</v>
      </c>
    </row>
    <row r="366" customFormat="false" ht="15" hidden="false" customHeight="false" outlineLevel="0" collapsed="false">
      <c r="A366" s="18" t="n">
        <v>92</v>
      </c>
      <c r="B366" s="18" t="s">
        <v>693</v>
      </c>
      <c r="C366" s="18" t="s">
        <v>691</v>
      </c>
      <c r="D366" s="18" t="s">
        <v>491</v>
      </c>
      <c r="E366" s="18" t="n">
        <v>0</v>
      </c>
      <c r="F366" s="18" t="n">
        <v>0</v>
      </c>
      <c r="G366" s="20" t="n">
        <v>-0.0756</v>
      </c>
      <c r="H366" s="20" t="n">
        <v>0.0079</v>
      </c>
      <c r="I366" s="28" t="n">
        <v>219.5</v>
      </c>
      <c r="J366" s="28" t="n">
        <v>1343.8</v>
      </c>
      <c r="K366" s="28" t="n">
        <v>152.6</v>
      </c>
      <c r="L366" s="18"/>
      <c r="M366" s="19" t="n">
        <v>1.551</v>
      </c>
      <c r="N366" s="28" t="n">
        <v>10.35</v>
      </c>
      <c r="O366" s="18" t="n">
        <v>33</v>
      </c>
      <c r="P366" s="18" t="n">
        <v>-1.75</v>
      </c>
      <c r="Q366" s="18" t="n">
        <v>-0.93</v>
      </c>
    </row>
    <row r="367" customFormat="false" ht="15" hidden="false" customHeight="false" outlineLevel="0" collapsed="false">
      <c r="A367" s="18" t="n">
        <v>92</v>
      </c>
      <c r="B367" s="18" t="s">
        <v>693</v>
      </c>
      <c r="C367" s="18" t="s">
        <v>691</v>
      </c>
      <c r="D367" s="18" t="s">
        <v>492</v>
      </c>
      <c r="E367" s="18" t="n">
        <v>1</v>
      </c>
      <c r="F367" s="18" t="n">
        <v>0</v>
      </c>
      <c r="G367" s="20" t="n">
        <v>-0.0679</v>
      </c>
      <c r="H367" s="20" t="n">
        <v>0.0078</v>
      </c>
      <c r="I367" s="28" t="n">
        <v>209.4</v>
      </c>
      <c r="J367" s="28" t="n">
        <v>1460</v>
      </c>
      <c r="K367" s="28" t="n">
        <v>146</v>
      </c>
      <c r="L367" s="18"/>
      <c r="M367" s="19" t="n">
        <v>0.651</v>
      </c>
      <c r="N367" s="28" t="n">
        <v>10.33</v>
      </c>
      <c r="O367" s="18" t="n">
        <v>33</v>
      </c>
      <c r="P367" s="18" t="n">
        <v>-1.75</v>
      </c>
      <c r="Q367" s="18" t="n">
        <v>-0.93</v>
      </c>
    </row>
    <row r="368" customFormat="false" ht="15" hidden="false" customHeight="false" outlineLevel="0" collapsed="false">
      <c r="A368" s="18" t="n">
        <v>92</v>
      </c>
      <c r="B368" s="18" t="s">
        <v>694</v>
      </c>
      <c r="C368" s="18" t="s">
        <v>691</v>
      </c>
      <c r="D368" s="18" t="s">
        <v>494</v>
      </c>
      <c r="E368" s="18" t="n">
        <v>0</v>
      </c>
      <c r="F368" s="18" t="n">
        <v>1</v>
      </c>
      <c r="G368" s="20" t="n">
        <v>0.1099</v>
      </c>
      <c r="H368" s="20" t="n">
        <v>0.0065</v>
      </c>
      <c r="I368" s="28" t="n">
        <v>227.7</v>
      </c>
      <c r="J368" s="28" t="n">
        <v>1340.9</v>
      </c>
      <c r="K368" s="28" t="n">
        <v>152.7</v>
      </c>
      <c r="L368" s="29" t="n">
        <v>2.665</v>
      </c>
      <c r="M368" s="19" t="n">
        <v>1.986</v>
      </c>
      <c r="N368" s="28" t="n">
        <v>8.54</v>
      </c>
      <c r="O368" s="18" t="n">
        <v>33</v>
      </c>
      <c r="P368" s="18" t="n">
        <v>-1.75</v>
      </c>
      <c r="Q368" s="18" t="n">
        <v>-0.93</v>
      </c>
    </row>
    <row r="369" customFormat="false" ht="15" hidden="false" customHeight="false" outlineLevel="0" collapsed="false">
      <c r="A369" s="18" t="n">
        <v>92</v>
      </c>
      <c r="B369" s="18" t="s">
        <v>694</v>
      </c>
      <c r="C369" s="18" t="s">
        <v>691</v>
      </c>
      <c r="D369" s="18" t="s">
        <v>495</v>
      </c>
      <c r="E369" s="18" t="n">
        <v>1</v>
      </c>
      <c r="F369" s="18" t="n">
        <v>1</v>
      </c>
      <c r="G369" s="20" t="n">
        <v>0.0984</v>
      </c>
      <c r="H369" s="20" t="n">
        <v>0.0051</v>
      </c>
      <c r="I369" s="28" t="n">
        <v>238</v>
      </c>
      <c r="J369" s="28" t="n">
        <v>1456.8</v>
      </c>
      <c r="K369" s="28" t="n">
        <v>167.2</v>
      </c>
      <c r="L369" s="29" t="n">
        <v>2.66</v>
      </c>
      <c r="M369" s="19" t="n">
        <v>1.264</v>
      </c>
      <c r="N369" s="28" t="n">
        <v>8.96</v>
      </c>
      <c r="O369" s="18" t="n">
        <v>33</v>
      </c>
      <c r="P369" s="18" t="n">
        <v>-1.75</v>
      </c>
      <c r="Q369" s="18" t="n">
        <v>-0.93</v>
      </c>
    </row>
    <row r="370" customFormat="false" ht="15" hidden="false" customHeight="false" outlineLevel="0" collapsed="false">
      <c r="A370" s="18" t="n">
        <v>93</v>
      </c>
      <c r="B370" s="18" t="s">
        <v>695</v>
      </c>
      <c r="C370" s="18" t="s">
        <v>634</v>
      </c>
      <c r="D370" s="18" t="s">
        <v>491</v>
      </c>
      <c r="E370" s="18" t="n">
        <v>0</v>
      </c>
      <c r="F370" s="18" t="n">
        <v>0</v>
      </c>
      <c r="G370" s="20" t="n">
        <v>-0.074</v>
      </c>
      <c r="H370" s="20" t="n">
        <v>0.0084</v>
      </c>
      <c r="I370" s="28" t="n">
        <v>224.3</v>
      </c>
      <c r="J370" s="28" t="n">
        <v>1343.2</v>
      </c>
      <c r="K370" s="28" t="n">
        <v>188.1</v>
      </c>
      <c r="L370" s="18"/>
      <c r="M370" s="19" t="n">
        <v>0.881</v>
      </c>
      <c r="N370" s="28" t="n">
        <v>8.98</v>
      </c>
      <c r="O370" s="18" t="n">
        <v>36</v>
      </c>
      <c r="P370" s="18" t="n">
        <v>-1.75</v>
      </c>
      <c r="Q370" s="18" t="n">
        <v>-0.93</v>
      </c>
    </row>
    <row r="371" customFormat="false" ht="15" hidden="false" customHeight="false" outlineLevel="0" collapsed="false">
      <c r="A371" s="18" t="n">
        <v>93</v>
      </c>
      <c r="B371" s="18" t="s">
        <v>695</v>
      </c>
      <c r="C371" s="18" t="s">
        <v>634</v>
      </c>
      <c r="D371" s="18" t="s">
        <v>492</v>
      </c>
      <c r="E371" s="18" t="n">
        <v>1</v>
      </c>
      <c r="F371" s="18" t="n">
        <v>0</v>
      </c>
      <c r="G371" s="20" t="n">
        <v>-0.0674</v>
      </c>
      <c r="H371" s="20" t="n">
        <v>0.0051</v>
      </c>
      <c r="I371" s="28" t="n">
        <v>218.5</v>
      </c>
      <c r="J371" s="28" t="n">
        <v>1459.4</v>
      </c>
      <c r="K371" s="28" t="n">
        <v>181.6</v>
      </c>
      <c r="L371" s="29" t="n">
        <v>3.38</v>
      </c>
      <c r="M371" s="19" t="n">
        <v>0.849</v>
      </c>
      <c r="N371" s="28" t="n">
        <v>9.66</v>
      </c>
      <c r="O371" s="18" t="n">
        <v>36</v>
      </c>
      <c r="P371" s="18" t="n">
        <v>-1.75</v>
      </c>
      <c r="Q371" s="18" t="n">
        <v>-0.93</v>
      </c>
    </row>
    <row r="372" customFormat="false" ht="15" hidden="false" customHeight="false" outlineLevel="0" collapsed="false">
      <c r="A372" s="18" t="n">
        <v>93</v>
      </c>
      <c r="B372" s="18" t="s">
        <v>696</v>
      </c>
      <c r="C372" s="18" t="s">
        <v>634</v>
      </c>
      <c r="D372" s="18" t="s">
        <v>494</v>
      </c>
      <c r="E372" s="18" t="n">
        <v>0</v>
      </c>
      <c r="F372" s="18" t="n">
        <v>1</v>
      </c>
      <c r="G372" s="20" t="n">
        <v>0.1156</v>
      </c>
      <c r="H372" s="20" t="n">
        <v>0.0129</v>
      </c>
      <c r="I372" s="28" t="n">
        <v>217.6</v>
      </c>
      <c r="J372" s="28" t="n">
        <v>1343.4</v>
      </c>
      <c r="K372" s="28" t="n">
        <v>186.6</v>
      </c>
      <c r="L372" s="29" t="n">
        <v>2.8</v>
      </c>
      <c r="M372" s="19" t="n">
        <v>0.651</v>
      </c>
      <c r="N372" s="28" t="n">
        <v>10.39</v>
      </c>
      <c r="O372" s="18" t="n">
        <v>37</v>
      </c>
      <c r="P372" s="18" t="n">
        <v>-1.75</v>
      </c>
      <c r="Q372" s="18" t="n">
        <v>-0.93</v>
      </c>
    </row>
    <row r="373" customFormat="false" ht="15" hidden="false" customHeight="false" outlineLevel="0" collapsed="false">
      <c r="A373" s="18" t="n">
        <v>93</v>
      </c>
      <c r="B373" s="18" t="s">
        <v>696</v>
      </c>
      <c r="C373" s="18" t="s">
        <v>634</v>
      </c>
      <c r="D373" s="18" t="s">
        <v>495</v>
      </c>
      <c r="E373" s="18" t="n">
        <v>1</v>
      </c>
      <c r="F373" s="18" t="n">
        <v>1</v>
      </c>
      <c r="G373" s="20" t="n">
        <v>0.087</v>
      </c>
      <c r="H373" s="20" t="n">
        <v>0.0066</v>
      </c>
      <c r="I373" s="28" t="n">
        <v>242.7</v>
      </c>
      <c r="J373" s="28" t="n">
        <v>1454.7</v>
      </c>
      <c r="K373" s="28" t="n">
        <v>199.6</v>
      </c>
      <c r="L373" s="18"/>
      <c r="M373" s="19" t="n">
        <v>1.093</v>
      </c>
      <c r="N373" s="28" t="n">
        <v>11.12</v>
      </c>
      <c r="O373" s="18" t="n">
        <v>37</v>
      </c>
      <c r="P373" s="18" t="n">
        <v>-1.75</v>
      </c>
      <c r="Q373" s="18" t="n">
        <v>-0.93</v>
      </c>
    </row>
    <row r="374" customFormat="false" ht="15" hidden="false" customHeight="false" outlineLevel="0" collapsed="false">
      <c r="A374" s="18" t="n">
        <v>94</v>
      </c>
      <c r="B374" s="18" t="s">
        <v>697</v>
      </c>
      <c r="C374" s="18" t="s">
        <v>634</v>
      </c>
      <c r="D374" s="18" t="s">
        <v>491</v>
      </c>
      <c r="E374" s="18" t="n">
        <v>0</v>
      </c>
      <c r="F374" s="18" t="n">
        <v>0</v>
      </c>
      <c r="G374" s="20" t="n">
        <v>-0.0735</v>
      </c>
      <c r="H374" s="20" t="n">
        <v>0.0054</v>
      </c>
      <c r="I374" s="28" t="n">
        <v>236.7</v>
      </c>
      <c r="J374" s="28" t="n">
        <v>1339.8</v>
      </c>
      <c r="K374" s="28" t="n">
        <v>182.2</v>
      </c>
      <c r="L374" s="29" t="n">
        <v>1.497</v>
      </c>
      <c r="M374" s="19" t="n">
        <v>0.876</v>
      </c>
      <c r="N374" s="28" t="n">
        <v>8.18</v>
      </c>
      <c r="O374" s="18" t="n">
        <v>35</v>
      </c>
      <c r="P374" s="18" t="n">
        <v>-1.75</v>
      </c>
      <c r="Q374" s="18" t="n">
        <v>-0.93</v>
      </c>
    </row>
    <row r="375" customFormat="false" ht="15" hidden="false" customHeight="false" outlineLevel="0" collapsed="false">
      <c r="A375" s="18" t="n">
        <v>94</v>
      </c>
      <c r="B375" s="18" t="s">
        <v>697</v>
      </c>
      <c r="C375" s="18" t="s">
        <v>634</v>
      </c>
      <c r="D375" s="18" t="s">
        <v>492</v>
      </c>
      <c r="E375" s="18" t="n">
        <v>1</v>
      </c>
      <c r="F375" s="18" t="n">
        <v>0</v>
      </c>
      <c r="G375" s="20" t="n">
        <v>-0.0765</v>
      </c>
      <c r="H375" s="20" t="n">
        <v>0.0063</v>
      </c>
      <c r="I375" s="28" t="n">
        <v>207.3</v>
      </c>
      <c r="J375" s="28" t="n">
        <v>1459.3</v>
      </c>
      <c r="K375" s="28" t="n">
        <v>157</v>
      </c>
      <c r="L375" s="29" t="n">
        <v>3.786</v>
      </c>
      <c r="M375" s="19" t="n">
        <v>1.08</v>
      </c>
      <c r="N375" s="28" t="n">
        <v>8.79</v>
      </c>
      <c r="O375" s="18" t="n">
        <v>35</v>
      </c>
      <c r="P375" s="18" t="n">
        <v>-1.75</v>
      </c>
      <c r="Q375" s="18" t="n">
        <v>-0.93</v>
      </c>
    </row>
    <row r="376" customFormat="false" ht="15" hidden="false" customHeight="false" outlineLevel="0" collapsed="false">
      <c r="A376" s="18" t="n">
        <v>94</v>
      </c>
      <c r="B376" s="18" t="s">
        <v>698</v>
      </c>
      <c r="C376" s="18" t="s">
        <v>634</v>
      </c>
      <c r="D376" s="18" t="s">
        <v>494</v>
      </c>
      <c r="E376" s="18" t="n">
        <v>0</v>
      </c>
      <c r="F376" s="18" t="n">
        <v>1</v>
      </c>
      <c r="G376" s="20" t="n">
        <v>0.1131</v>
      </c>
      <c r="H376" s="20" t="n">
        <v>0.0087</v>
      </c>
      <c r="I376" s="28" t="n">
        <v>226.2</v>
      </c>
      <c r="J376" s="28" t="n">
        <v>1337.2</v>
      </c>
      <c r="K376" s="28" t="n">
        <v>162.2</v>
      </c>
      <c r="L376" s="29" t="n">
        <v>3.485</v>
      </c>
      <c r="M376" s="19" t="n">
        <v>0.545</v>
      </c>
      <c r="N376" s="28" t="n">
        <v>9.57</v>
      </c>
      <c r="O376" s="18" t="n">
        <v>35</v>
      </c>
      <c r="P376" s="18" t="n">
        <v>-1.75</v>
      </c>
      <c r="Q376" s="18" t="n">
        <v>-0.93</v>
      </c>
    </row>
    <row r="377" customFormat="false" ht="15" hidden="false" customHeight="false" outlineLevel="0" collapsed="false">
      <c r="A377" s="18" t="n">
        <v>94</v>
      </c>
      <c r="B377" s="18" t="s">
        <v>698</v>
      </c>
      <c r="C377" s="18" t="s">
        <v>634</v>
      </c>
      <c r="D377" s="18" t="s">
        <v>495</v>
      </c>
      <c r="E377" s="18" t="n">
        <v>1</v>
      </c>
      <c r="F377" s="18" t="n">
        <v>1</v>
      </c>
      <c r="G377" s="20" t="n">
        <v>0.1039</v>
      </c>
      <c r="H377" s="20" t="n">
        <v>0.0082</v>
      </c>
      <c r="I377" s="28" t="n">
        <v>224.2</v>
      </c>
      <c r="J377" s="28" t="n">
        <v>1452.4</v>
      </c>
      <c r="K377" s="28" t="n">
        <v>167.3</v>
      </c>
      <c r="L377" s="29" t="n">
        <v>1.071</v>
      </c>
      <c r="M377" s="19" t="n">
        <v>1.381</v>
      </c>
      <c r="N377" s="28" t="n">
        <v>8.51</v>
      </c>
      <c r="O377" s="18" t="n">
        <v>35</v>
      </c>
      <c r="P377" s="18" t="n">
        <v>-1.75</v>
      </c>
      <c r="Q377" s="18" t="n">
        <v>-0.93</v>
      </c>
    </row>
    <row r="378" customFormat="false" ht="15" hidden="false" customHeight="false" outlineLevel="0" collapsed="false">
      <c r="A378" s="18" t="n">
        <v>95</v>
      </c>
      <c r="B378" s="18" t="s">
        <v>699</v>
      </c>
      <c r="C378" s="18" t="s">
        <v>634</v>
      </c>
      <c r="D378" s="18" t="s">
        <v>491</v>
      </c>
      <c r="E378" s="18" t="n">
        <v>0</v>
      </c>
      <c r="F378" s="18" t="n">
        <v>0</v>
      </c>
      <c r="G378" s="20" t="n">
        <v>-0.0684</v>
      </c>
      <c r="H378" s="20" t="n">
        <v>0.0075</v>
      </c>
      <c r="I378" s="28" t="n">
        <v>226.8</v>
      </c>
      <c r="J378" s="28" t="n">
        <v>1341.6</v>
      </c>
      <c r="K378" s="28" t="n">
        <v>152.8</v>
      </c>
      <c r="L378" s="29" t="n">
        <v>5.831</v>
      </c>
      <c r="M378" s="19" t="n">
        <v>1.23</v>
      </c>
      <c r="N378" s="28" t="n">
        <v>10.51</v>
      </c>
      <c r="O378" s="18" t="n">
        <v>33</v>
      </c>
      <c r="P378" s="18" t="n">
        <v>-1.75</v>
      </c>
      <c r="Q378" s="18" t="n">
        <v>-0.93</v>
      </c>
    </row>
    <row r="379" customFormat="false" ht="15" hidden="false" customHeight="false" outlineLevel="0" collapsed="false">
      <c r="A379" s="18" t="n">
        <v>95</v>
      </c>
      <c r="B379" s="18" t="s">
        <v>699</v>
      </c>
      <c r="C379" s="18" t="s">
        <v>634</v>
      </c>
      <c r="D379" s="18" t="s">
        <v>492</v>
      </c>
      <c r="E379" s="18" t="n">
        <v>1</v>
      </c>
      <c r="F379" s="18" t="n">
        <v>0</v>
      </c>
      <c r="G379" s="20" t="n">
        <v>-0.0686</v>
      </c>
      <c r="H379" s="20" t="n">
        <v>0.0047</v>
      </c>
      <c r="I379" s="28" t="n">
        <v>227.4</v>
      </c>
      <c r="J379" s="28" t="n">
        <v>1455.1</v>
      </c>
      <c r="K379" s="28" t="n">
        <v>149.9</v>
      </c>
      <c r="L379" s="29" t="n">
        <v>1.285</v>
      </c>
      <c r="M379" s="19" t="n">
        <v>1.095</v>
      </c>
      <c r="N379" s="28" t="n">
        <v>8.57</v>
      </c>
      <c r="O379" s="18" t="n">
        <v>33</v>
      </c>
      <c r="P379" s="18" t="n">
        <v>-1.75</v>
      </c>
      <c r="Q379" s="18" t="n">
        <v>-0.93</v>
      </c>
    </row>
    <row r="380" customFormat="false" ht="15" hidden="false" customHeight="false" outlineLevel="0" collapsed="false">
      <c r="A380" s="18" t="n">
        <v>95</v>
      </c>
      <c r="B380" s="18" t="s">
        <v>700</v>
      </c>
      <c r="C380" s="18" t="s">
        <v>634</v>
      </c>
      <c r="D380" s="18" t="s">
        <v>494</v>
      </c>
      <c r="E380" s="18" t="n">
        <v>0</v>
      </c>
      <c r="F380" s="18" t="n">
        <v>1</v>
      </c>
      <c r="G380" s="20" t="n">
        <v>0.1106</v>
      </c>
      <c r="H380" s="20" t="n">
        <v>0.007</v>
      </c>
      <c r="I380" s="28" t="n">
        <v>226.7</v>
      </c>
      <c r="J380" s="28" t="n">
        <v>1338.8</v>
      </c>
      <c r="K380" s="28" t="n">
        <v>151.2</v>
      </c>
      <c r="L380" s="29" t="n">
        <v>0.582</v>
      </c>
      <c r="M380" s="19" t="n">
        <v>1.3</v>
      </c>
      <c r="N380" s="28" t="n">
        <v>10</v>
      </c>
      <c r="O380" s="18" t="n">
        <v>33</v>
      </c>
      <c r="P380" s="18" t="n">
        <v>-1.75</v>
      </c>
      <c r="Q380" s="18" t="n">
        <v>-0.93</v>
      </c>
    </row>
    <row r="381" customFormat="false" ht="15" hidden="false" customHeight="false" outlineLevel="0" collapsed="false">
      <c r="A381" s="18" t="n">
        <v>95</v>
      </c>
      <c r="B381" s="18" t="s">
        <v>700</v>
      </c>
      <c r="C381" s="18" t="s">
        <v>634</v>
      </c>
      <c r="D381" s="18" t="s">
        <v>495</v>
      </c>
      <c r="E381" s="18" t="n">
        <v>1</v>
      </c>
      <c r="F381" s="18" t="n">
        <v>1</v>
      </c>
      <c r="G381" s="20" t="n">
        <v>0.0948</v>
      </c>
      <c r="H381" s="20" t="n">
        <v>0.0061</v>
      </c>
      <c r="I381" s="28" t="n">
        <v>235.8</v>
      </c>
      <c r="J381" s="28" t="n">
        <v>1453.5</v>
      </c>
      <c r="K381" s="28" t="n">
        <v>147.8</v>
      </c>
      <c r="L381" s="29" t="n">
        <v>0.966</v>
      </c>
      <c r="M381" s="19" t="n">
        <v>0.891</v>
      </c>
      <c r="N381" s="28" t="n">
        <v>9.42</v>
      </c>
      <c r="O381" s="18" t="n">
        <v>33</v>
      </c>
      <c r="P381" s="18" t="n">
        <v>-1.75</v>
      </c>
      <c r="Q381" s="18" t="n">
        <v>-0.93</v>
      </c>
    </row>
    <row r="382" customFormat="false" ht="15" hidden="false" customHeight="false" outlineLevel="0" collapsed="false">
      <c r="A382" s="18" t="n">
        <v>96</v>
      </c>
      <c r="B382" s="18" t="s">
        <v>701</v>
      </c>
      <c r="C382" s="18" t="s">
        <v>691</v>
      </c>
      <c r="D382" s="18" t="s">
        <v>491</v>
      </c>
      <c r="E382" s="18" t="n">
        <v>0</v>
      </c>
      <c r="F382" s="18" t="n">
        <v>0</v>
      </c>
      <c r="G382" s="20" t="n">
        <v>-0.0762</v>
      </c>
      <c r="H382" s="20" t="n">
        <v>0.0066</v>
      </c>
      <c r="I382" s="28" t="n">
        <v>238.5</v>
      </c>
      <c r="J382" s="28" t="n">
        <v>1339.9</v>
      </c>
      <c r="K382" s="28" t="n">
        <v>139.8</v>
      </c>
      <c r="L382" s="29" t="n">
        <v>4.306</v>
      </c>
      <c r="M382" s="19" t="n">
        <v>1.186</v>
      </c>
      <c r="N382" s="28" t="n">
        <v>8.99</v>
      </c>
      <c r="O382" s="18" t="n">
        <v>33</v>
      </c>
      <c r="P382" s="18" t="n">
        <v>-1.75</v>
      </c>
      <c r="Q382" s="18" t="n">
        <v>-0.93</v>
      </c>
    </row>
    <row r="383" customFormat="false" ht="15" hidden="false" customHeight="false" outlineLevel="0" collapsed="false">
      <c r="A383" s="18" t="n">
        <v>96</v>
      </c>
      <c r="B383" s="18" t="s">
        <v>701</v>
      </c>
      <c r="C383" s="18" t="s">
        <v>691</v>
      </c>
      <c r="D383" s="18" t="s">
        <v>492</v>
      </c>
      <c r="E383" s="18" t="n">
        <v>1</v>
      </c>
      <c r="F383" s="18" t="n">
        <v>0</v>
      </c>
      <c r="G383" s="20" t="n">
        <v>-0.0747</v>
      </c>
      <c r="H383" s="20" t="n">
        <v>0.0063</v>
      </c>
      <c r="I383" s="28" t="n">
        <v>230.2</v>
      </c>
      <c r="J383" s="28" t="n">
        <v>1457.5</v>
      </c>
      <c r="K383" s="28" t="n">
        <v>146.2</v>
      </c>
      <c r="L383" s="29" t="n">
        <v>1.798</v>
      </c>
      <c r="M383" s="19" t="n">
        <v>1.106</v>
      </c>
      <c r="N383" s="28" t="n">
        <v>8.25</v>
      </c>
      <c r="O383" s="18" t="n">
        <v>33</v>
      </c>
      <c r="P383" s="18" t="n">
        <v>-1.75</v>
      </c>
      <c r="Q383" s="18" t="n">
        <v>-0.93</v>
      </c>
    </row>
    <row r="384" customFormat="false" ht="15" hidden="false" customHeight="false" outlineLevel="0" collapsed="false">
      <c r="A384" s="18" t="n">
        <v>96</v>
      </c>
      <c r="B384" s="18" t="s">
        <v>702</v>
      </c>
      <c r="C384" s="18" t="s">
        <v>691</v>
      </c>
      <c r="D384" s="18" t="s">
        <v>494</v>
      </c>
      <c r="E384" s="18" t="n">
        <v>0</v>
      </c>
      <c r="F384" s="18" t="n">
        <v>1</v>
      </c>
      <c r="G384" s="20" t="n">
        <v>0.1192</v>
      </c>
      <c r="H384" s="20" t="n">
        <v>0.0081</v>
      </c>
      <c r="I384" s="28" t="n">
        <v>230.5</v>
      </c>
      <c r="J384" s="28" t="n">
        <v>1337.3</v>
      </c>
      <c r="K384" s="28" t="n">
        <v>123</v>
      </c>
      <c r="L384" s="29" t="n">
        <v>1.034</v>
      </c>
      <c r="M384" s="19" t="n">
        <v>1.098</v>
      </c>
      <c r="N384" s="28" t="n">
        <v>9.2</v>
      </c>
      <c r="O384" s="18" t="n">
        <v>30</v>
      </c>
      <c r="P384" s="18" t="n">
        <v>-1.75</v>
      </c>
      <c r="Q384" s="18" t="n">
        <v>-0.93</v>
      </c>
    </row>
    <row r="385" customFormat="false" ht="15" hidden="false" customHeight="false" outlineLevel="0" collapsed="false">
      <c r="A385" s="18" t="n">
        <v>96</v>
      </c>
      <c r="B385" s="18" t="s">
        <v>702</v>
      </c>
      <c r="C385" s="18" t="s">
        <v>691</v>
      </c>
      <c r="D385" s="18" t="s">
        <v>495</v>
      </c>
      <c r="E385" s="18" t="n">
        <v>1</v>
      </c>
      <c r="F385" s="18" t="n">
        <v>1</v>
      </c>
      <c r="G385" s="20" t="n">
        <v>0.1031</v>
      </c>
      <c r="H385" s="20" t="n">
        <v>0.0062</v>
      </c>
      <c r="I385" s="28" t="n">
        <v>239.3</v>
      </c>
      <c r="J385" s="28" t="n">
        <v>1452.1</v>
      </c>
      <c r="K385" s="28" t="n">
        <v>127.9</v>
      </c>
      <c r="L385" s="29" t="n">
        <v>2.344</v>
      </c>
      <c r="M385" s="19" t="n">
        <v>1.088</v>
      </c>
      <c r="N385" s="28" t="n">
        <v>9.17</v>
      </c>
      <c r="O385" s="18" t="n">
        <v>30</v>
      </c>
      <c r="P385" s="18" t="n">
        <v>-1.75</v>
      </c>
      <c r="Q385" s="18" t="n">
        <v>-0.93</v>
      </c>
    </row>
    <row r="386" customFormat="false" ht="15" hidden="false" customHeight="false" outlineLevel="0" collapsed="false">
      <c r="A386" s="18" t="n">
        <v>97</v>
      </c>
      <c r="B386" s="18" t="s">
        <v>703</v>
      </c>
      <c r="C386" s="18" t="s">
        <v>691</v>
      </c>
      <c r="D386" s="18" t="s">
        <v>491</v>
      </c>
      <c r="E386" s="18" t="n">
        <v>0</v>
      </c>
      <c r="F386" s="18" t="n">
        <v>0</v>
      </c>
      <c r="G386" s="20" t="n">
        <v>-0.0687</v>
      </c>
      <c r="H386" s="20" t="n">
        <v>0.0069</v>
      </c>
      <c r="I386" s="28" t="n">
        <v>222.8</v>
      </c>
      <c r="J386" s="28" t="n">
        <v>1341.8</v>
      </c>
      <c r="K386" s="28" t="n">
        <v>180.6</v>
      </c>
      <c r="L386" s="29" t="n">
        <v>1.48</v>
      </c>
      <c r="M386" s="19" t="n">
        <v>0.94</v>
      </c>
      <c r="N386" s="28" t="n">
        <v>7.8</v>
      </c>
      <c r="O386" s="18" t="n">
        <v>36</v>
      </c>
      <c r="P386" s="18" t="n">
        <v>-1.75</v>
      </c>
      <c r="Q386" s="18" t="n">
        <v>-0.93</v>
      </c>
    </row>
    <row r="387" customFormat="false" ht="15" hidden="false" customHeight="false" outlineLevel="0" collapsed="false">
      <c r="A387" s="18" t="n">
        <v>97</v>
      </c>
      <c r="B387" s="18" t="s">
        <v>703</v>
      </c>
      <c r="C387" s="18" t="s">
        <v>691</v>
      </c>
      <c r="D387" s="18" t="s">
        <v>492</v>
      </c>
      <c r="E387" s="18" t="n">
        <v>1</v>
      </c>
      <c r="F387" s="18" t="n">
        <v>0</v>
      </c>
      <c r="G387" s="20" t="n">
        <v>-0.0769</v>
      </c>
      <c r="H387" s="20" t="n">
        <v>0.0069</v>
      </c>
      <c r="I387" s="28" t="n">
        <v>223.4</v>
      </c>
      <c r="J387" s="28" t="n">
        <v>1455.1</v>
      </c>
      <c r="K387" s="28" t="n">
        <v>184.9</v>
      </c>
      <c r="L387" s="29" t="n">
        <v>2.476</v>
      </c>
      <c r="M387" s="19" t="n">
        <v>0.876</v>
      </c>
      <c r="N387" s="28" t="n">
        <v>9.02</v>
      </c>
      <c r="O387" s="18" t="n">
        <v>36</v>
      </c>
      <c r="P387" s="18" t="n">
        <v>-1.75</v>
      </c>
      <c r="Q387" s="18" t="n">
        <v>-0.93</v>
      </c>
    </row>
    <row r="388" customFormat="false" ht="15" hidden="false" customHeight="false" outlineLevel="0" collapsed="false">
      <c r="A388" s="18" t="n">
        <v>97</v>
      </c>
      <c r="B388" s="18" t="s">
        <v>704</v>
      </c>
      <c r="C388" s="18" t="s">
        <v>691</v>
      </c>
      <c r="D388" s="18" t="s">
        <v>494</v>
      </c>
      <c r="E388" s="18" t="n">
        <v>0</v>
      </c>
      <c r="F388" s="18" t="n">
        <v>1</v>
      </c>
      <c r="G388" s="20" t="n">
        <v>0.1255</v>
      </c>
      <c r="H388" s="20" t="n">
        <v>0.0111</v>
      </c>
      <c r="I388" s="28" t="n">
        <v>197.7</v>
      </c>
      <c r="J388" s="28" t="n">
        <v>1342.9</v>
      </c>
      <c r="K388" s="28" t="n">
        <v>157.8</v>
      </c>
      <c r="L388" s="29" t="n">
        <v>0.406</v>
      </c>
      <c r="M388" s="19" t="n">
        <v>1.121</v>
      </c>
      <c r="N388" s="28" t="n">
        <v>10</v>
      </c>
      <c r="O388" s="18" t="n">
        <v>34</v>
      </c>
      <c r="P388" s="18" t="n">
        <v>-1.75</v>
      </c>
      <c r="Q388" s="18" t="n">
        <v>-0.93</v>
      </c>
    </row>
    <row r="389" customFormat="false" ht="15" hidden="false" customHeight="false" outlineLevel="0" collapsed="false">
      <c r="A389" s="18" t="n">
        <v>97</v>
      </c>
      <c r="B389" s="18" t="s">
        <v>704</v>
      </c>
      <c r="C389" s="18" t="s">
        <v>691</v>
      </c>
      <c r="D389" s="18" t="s">
        <v>495</v>
      </c>
      <c r="E389" s="18" t="n">
        <v>1</v>
      </c>
      <c r="F389" s="18" t="n">
        <v>1</v>
      </c>
      <c r="G389" s="20" t="n">
        <v>0.0956</v>
      </c>
      <c r="H389" s="20" t="n">
        <v>0.0065</v>
      </c>
      <c r="I389" s="28" t="n">
        <v>220.7</v>
      </c>
      <c r="J389" s="28" t="n">
        <v>1455.7</v>
      </c>
      <c r="K389" s="28" t="n">
        <v>173.3</v>
      </c>
      <c r="L389" s="18"/>
      <c r="M389" s="19" t="n">
        <v>1.166</v>
      </c>
      <c r="N389" s="28" t="n">
        <v>9.13</v>
      </c>
      <c r="O389" s="18" t="n">
        <v>34</v>
      </c>
      <c r="P389" s="18" t="n">
        <v>-1.75</v>
      </c>
      <c r="Q389" s="18" t="n">
        <v>-0.93</v>
      </c>
    </row>
    <row r="390" customFormat="false" ht="15" hidden="false" customHeight="false" outlineLevel="0" collapsed="false">
      <c r="A390" s="18" t="n">
        <v>98</v>
      </c>
      <c r="B390" s="18" t="s">
        <v>705</v>
      </c>
      <c r="C390" s="18" t="s">
        <v>634</v>
      </c>
      <c r="D390" s="18" t="s">
        <v>491</v>
      </c>
      <c r="E390" s="18" t="n">
        <v>0</v>
      </c>
      <c r="F390" s="18" t="n">
        <v>0</v>
      </c>
      <c r="G390" s="20" t="n">
        <v>-0.0769</v>
      </c>
      <c r="H390" s="20" t="n">
        <v>0.0094</v>
      </c>
      <c r="I390" s="28" t="n">
        <v>222.1</v>
      </c>
      <c r="J390" s="28" t="n">
        <v>1342.9</v>
      </c>
      <c r="K390" s="28" t="n">
        <v>157.4</v>
      </c>
      <c r="L390" s="29" t="n">
        <v>0.847</v>
      </c>
      <c r="M390" s="19" t="n">
        <v>0.831</v>
      </c>
      <c r="N390" s="28" t="n">
        <v>10.09</v>
      </c>
      <c r="O390" s="18" t="n">
        <v>33</v>
      </c>
      <c r="P390" s="18" t="n">
        <v>-1.75</v>
      </c>
      <c r="Q390" s="18" t="n">
        <v>-0.93</v>
      </c>
    </row>
    <row r="391" customFormat="false" ht="15" hidden="false" customHeight="false" outlineLevel="0" collapsed="false">
      <c r="A391" s="18" t="n">
        <v>98</v>
      </c>
      <c r="B391" s="18" t="s">
        <v>705</v>
      </c>
      <c r="C391" s="18" t="s">
        <v>634</v>
      </c>
      <c r="D391" s="18" t="s">
        <v>492</v>
      </c>
      <c r="E391" s="18" t="n">
        <v>1</v>
      </c>
      <c r="F391" s="18" t="n">
        <v>0</v>
      </c>
      <c r="G391" s="20" t="n">
        <v>-0.0761</v>
      </c>
      <c r="H391" s="20" t="n">
        <v>0.0049</v>
      </c>
      <c r="I391" s="28" t="n">
        <v>230.7</v>
      </c>
      <c r="J391" s="28" t="n">
        <v>1455.4</v>
      </c>
      <c r="K391" s="28" t="n">
        <v>139.9</v>
      </c>
      <c r="L391" s="29" t="n">
        <v>2.729</v>
      </c>
      <c r="M391" s="19" t="n">
        <v>0.964</v>
      </c>
      <c r="N391" s="28" t="n">
        <v>9.65</v>
      </c>
      <c r="O391" s="18" t="n">
        <v>33</v>
      </c>
      <c r="P391" s="18" t="n">
        <v>-1.75</v>
      </c>
      <c r="Q391" s="18" t="n">
        <v>-0.93</v>
      </c>
    </row>
    <row r="392" customFormat="false" ht="15" hidden="false" customHeight="false" outlineLevel="0" collapsed="false">
      <c r="A392" s="18" t="n">
        <v>98</v>
      </c>
      <c r="B392" s="18" t="s">
        <v>706</v>
      </c>
      <c r="C392" s="18" t="s">
        <v>634</v>
      </c>
      <c r="D392" s="18" t="s">
        <v>494</v>
      </c>
      <c r="E392" s="18" t="n">
        <v>0</v>
      </c>
      <c r="F392" s="18" t="n">
        <v>1</v>
      </c>
      <c r="G392" s="20" t="n">
        <v>0.1154</v>
      </c>
      <c r="H392" s="20" t="n">
        <v>0.006</v>
      </c>
      <c r="I392" s="28" t="n">
        <v>219.6</v>
      </c>
      <c r="J392" s="28" t="n">
        <v>1341.5</v>
      </c>
      <c r="K392" s="28" t="n">
        <v>148.5</v>
      </c>
      <c r="L392" s="18"/>
      <c r="M392" s="19" t="n">
        <v>0.919</v>
      </c>
      <c r="N392" s="28" t="n">
        <v>10.39</v>
      </c>
      <c r="O392" s="18" t="n">
        <v>29</v>
      </c>
      <c r="P392" s="18" t="n">
        <v>-1.75</v>
      </c>
      <c r="Q392" s="18" t="n">
        <v>-0.93</v>
      </c>
    </row>
    <row r="393" customFormat="false" ht="15" hidden="false" customHeight="false" outlineLevel="0" collapsed="false">
      <c r="A393" s="18" t="n">
        <v>98</v>
      </c>
      <c r="B393" s="18" t="s">
        <v>706</v>
      </c>
      <c r="C393" s="18" t="s">
        <v>634</v>
      </c>
      <c r="D393" s="18" t="s">
        <v>495</v>
      </c>
      <c r="E393" s="18" t="n">
        <v>1</v>
      </c>
      <c r="F393" s="18" t="n">
        <v>1</v>
      </c>
      <c r="G393" s="20" t="n">
        <v>0.1161</v>
      </c>
      <c r="H393" s="20" t="n">
        <v>0.0077</v>
      </c>
      <c r="I393" s="28" t="n">
        <v>225.9</v>
      </c>
      <c r="J393" s="28" t="n">
        <v>1456.4</v>
      </c>
      <c r="K393" s="28" t="n">
        <v>151.3</v>
      </c>
      <c r="L393" s="29" t="n">
        <v>1.85</v>
      </c>
      <c r="M393" s="19" t="n">
        <v>1.599</v>
      </c>
      <c r="N393" s="28" t="n">
        <v>8.61</v>
      </c>
      <c r="O393" s="18" t="n">
        <v>29</v>
      </c>
      <c r="P393" s="18" t="n">
        <v>-1.75</v>
      </c>
      <c r="Q393" s="18" t="n">
        <v>-0.93</v>
      </c>
    </row>
    <row r="394" customFormat="false" ht="15" hidden="false" customHeight="false" outlineLevel="0" collapsed="false">
      <c r="A394" s="18" t="n">
        <v>99</v>
      </c>
      <c r="B394" s="18" t="s">
        <v>707</v>
      </c>
      <c r="C394" s="18" t="s">
        <v>634</v>
      </c>
      <c r="D394" s="18" t="s">
        <v>491</v>
      </c>
      <c r="E394" s="18" t="n">
        <v>0</v>
      </c>
      <c r="F394" s="18" t="n">
        <v>0</v>
      </c>
      <c r="G394" s="20" t="n">
        <v>-0.0665</v>
      </c>
      <c r="H394" s="20" t="n">
        <v>0.0091</v>
      </c>
      <c r="I394" s="28" t="n">
        <v>239.5</v>
      </c>
      <c r="J394" s="28" t="n">
        <v>1338.8</v>
      </c>
      <c r="K394" s="28" t="n">
        <v>172.5</v>
      </c>
      <c r="L394" s="18"/>
      <c r="M394" s="19" t="n">
        <v>1.036</v>
      </c>
      <c r="N394" s="28" t="n">
        <v>13.72</v>
      </c>
      <c r="O394" s="18" t="n">
        <v>36</v>
      </c>
      <c r="P394" s="18" t="n">
        <v>-1.75</v>
      </c>
      <c r="Q394" s="18" t="n">
        <v>-0.93</v>
      </c>
    </row>
    <row r="395" customFormat="false" ht="15" hidden="false" customHeight="false" outlineLevel="0" collapsed="false">
      <c r="A395" s="18" t="n">
        <v>99</v>
      </c>
      <c r="B395" s="18" t="s">
        <v>707</v>
      </c>
      <c r="C395" s="18" t="s">
        <v>634</v>
      </c>
      <c r="D395" s="18" t="s">
        <v>492</v>
      </c>
      <c r="E395" s="18" t="n">
        <v>1</v>
      </c>
      <c r="F395" s="18" t="n">
        <v>0</v>
      </c>
      <c r="G395" s="20" t="n">
        <v>-0.0709</v>
      </c>
      <c r="H395" s="20" t="n">
        <v>0.0061</v>
      </c>
      <c r="I395" s="28" t="n">
        <v>234.6</v>
      </c>
      <c r="J395" s="28" t="n">
        <v>1453.6</v>
      </c>
      <c r="K395" s="28" t="n">
        <v>164.4</v>
      </c>
      <c r="L395" s="29" t="n">
        <v>5.089</v>
      </c>
      <c r="M395" s="19" t="n">
        <v>1.598</v>
      </c>
      <c r="N395" s="28" t="n">
        <v>9.84</v>
      </c>
      <c r="O395" s="18" t="n">
        <v>36</v>
      </c>
      <c r="P395" s="18" t="n">
        <v>-1.75</v>
      </c>
      <c r="Q395" s="18" t="n">
        <v>-0.93</v>
      </c>
    </row>
    <row r="396" customFormat="false" ht="15" hidden="false" customHeight="false" outlineLevel="0" collapsed="false">
      <c r="A396" s="18" t="n">
        <v>99</v>
      </c>
      <c r="B396" s="18" t="s">
        <v>708</v>
      </c>
      <c r="C396" s="18" t="s">
        <v>634</v>
      </c>
      <c r="D396" s="18" t="s">
        <v>494</v>
      </c>
      <c r="E396" s="18" t="n">
        <v>0</v>
      </c>
      <c r="F396" s="18" t="n">
        <v>1</v>
      </c>
      <c r="G396" s="20" t="n">
        <v>0.1204</v>
      </c>
      <c r="H396" s="20" t="n">
        <v>0.0078</v>
      </c>
      <c r="I396" s="28" t="n">
        <v>233.8</v>
      </c>
      <c r="J396" s="28" t="n">
        <v>1335.6</v>
      </c>
      <c r="K396" s="28" t="n">
        <v>211.4</v>
      </c>
      <c r="L396" s="29" t="n">
        <v>3.097</v>
      </c>
      <c r="M396" s="19" t="n">
        <v>0.994</v>
      </c>
      <c r="N396" s="28" t="n">
        <v>9.77</v>
      </c>
      <c r="O396" s="18" t="n">
        <v>37</v>
      </c>
      <c r="P396" s="18" t="n">
        <v>-1.75</v>
      </c>
      <c r="Q396" s="18" t="n">
        <v>-0.93</v>
      </c>
    </row>
    <row r="397" customFormat="false" ht="15" hidden="false" customHeight="false" outlineLevel="0" collapsed="false">
      <c r="A397" s="18" t="n">
        <v>99</v>
      </c>
      <c r="B397" s="18" t="s">
        <v>708</v>
      </c>
      <c r="C397" s="18" t="s">
        <v>634</v>
      </c>
      <c r="D397" s="18" t="s">
        <v>495</v>
      </c>
      <c r="E397" s="18" t="n">
        <v>1</v>
      </c>
      <c r="F397" s="18" t="n">
        <v>1</v>
      </c>
      <c r="G397" s="20" t="n">
        <v>0.0888</v>
      </c>
      <c r="H397" s="20" t="n">
        <v>0.0087</v>
      </c>
      <c r="I397" s="28" t="n">
        <v>233.9</v>
      </c>
      <c r="J397" s="28" t="n">
        <v>1454.3</v>
      </c>
      <c r="K397" s="28" t="n">
        <v>209.4</v>
      </c>
      <c r="L397" s="29" t="n">
        <v>3.178</v>
      </c>
      <c r="M397" s="19" t="n">
        <v>0.715</v>
      </c>
      <c r="N397" s="28" t="n">
        <v>9.82</v>
      </c>
      <c r="O397" s="18" t="n">
        <v>37</v>
      </c>
      <c r="P397" s="18" t="n">
        <v>-1.75</v>
      </c>
      <c r="Q397" s="18" t="n">
        <v>-0.93</v>
      </c>
    </row>
    <row r="398" customFormat="false" ht="15" hidden="false" customHeight="false" outlineLevel="0" collapsed="false">
      <c r="A398" s="18" t="n">
        <v>100</v>
      </c>
      <c r="B398" s="18" t="s">
        <v>709</v>
      </c>
      <c r="C398" s="18" t="s">
        <v>634</v>
      </c>
      <c r="D398" s="18" t="s">
        <v>491</v>
      </c>
      <c r="E398" s="18" t="n">
        <v>0</v>
      </c>
      <c r="F398" s="18" t="n">
        <v>0</v>
      </c>
      <c r="G398" s="20" t="n">
        <v>-0.0625</v>
      </c>
      <c r="H398" s="20" t="n">
        <v>0.009</v>
      </c>
      <c r="I398" s="28" t="n">
        <v>238.3</v>
      </c>
      <c r="J398" s="28" t="n">
        <v>1335.5</v>
      </c>
      <c r="K398" s="28" t="n">
        <v>147.2</v>
      </c>
      <c r="L398" s="29" t="n">
        <v>0.936</v>
      </c>
      <c r="M398" s="19" t="n">
        <v>1.375</v>
      </c>
      <c r="N398" s="28" t="n">
        <v>9.87</v>
      </c>
      <c r="O398" s="18" t="n">
        <v>33</v>
      </c>
      <c r="P398" s="18" t="n">
        <v>-1.75</v>
      </c>
      <c r="Q398" s="18" t="n">
        <v>-0.93</v>
      </c>
    </row>
    <row r="399" customFormat="false" ht="15" hidden="false" customHeight="false" outlineLevel="0" collapsed="false">
      <c r="A399" s="18" t="n">
        <v>100</v>
      </c>
      <c r="B399" s="18" t="s">
        <v>709</v>
      </c>
      <c r="C399" s="18" t="s">
        <v>634</v>
      </c>
      <c r="D399" s="18" t="s">
        <v>492</v>
      </c>
      <c r="E399" s="18" t="n">
        <v>1</v>
      </c>
      <c r="F399" s="18" t="n">
        <v>0</v>
      </c>
      <c r="G399" s="20" t="n">
        <v>-0.0661</v>
      </c>
      <c r="H399" s="20" t="n">
        <v>0.0066</v>
      </c>
      <c r="I399" s="28" t="n">
        <v>226.7</v>
      </c>
      <c r="J399" s="28" t="n">
        <v>1454.1</v>
      </c>
      <c r="K399" s="28" t="n">
        <v>146.9</v>
      </c>
      <c r="L399" s="29" t="n">
        <v>0.817</v>
      </c>
      <c r="M399" s="19" t="n">
        <v>0.831</v>
      </c>
      <c r="N399" s="28" t="n">
        <v>11.29</v>
      </c>
      <c r="O399" s="18" t="n">
        <v>33</v>
      </c>
      <c r="P399" s="18" t="n">
        <v>-1.75</v>
      </c>
      <c r="Q399" s="18" t="n">
        <v>-0.93</v>
      </c>
    </row>
    <row r="400" customFormat="false" ht="15" hidden="false" customHeight="false" outlineLevel="0" collapsed="false">
      <c r="A400" s="18" t="n">
        <v>100</v>
      </c>
      <c r="B400" s="18" t="s">
        <v>710</v>
      </c>
      <c r="C400" s="18" t="s">
        <v>634</v>
      </c>
      <c r="D400" s="18" t="s">
        <v>494</v>
      </c>
      <c r="E400" s="18" t="n">
        <v>0</v>
      </c>
      <c r="F400" s="18" t="n">
        <v>1</v>
      </c>
      <c r="G400" s="20" t="n">
        <v>0.093</v>
      </c>
      <c r="H400" s="20" t="n">
        <v>0.0081</v>
      </c>
      <c r="I400" s="28" t="n">
        <v>222.6</v>
      </c>
      <c r="J400" s="28" t="n">
        <v>1334.5</v>
      </c>
      <c r="K400" s="28" t="n">
        <v>121.9</v>
      </c>
      <c r="L400" s="29" t="n">
        <v>4.234</v>
      </c>
      <c r="M400" s="19" t="n">
        <v>1.768</v>
      </c>
      <c r="N400" s="28" t="n">
        <v>9.01</v>
      </c>
      <c r="O400" s="18" t="n">
        <v>30</v>
      </c>
      <c r="P400" s="18" t="n">
        <v>-1.75</v>
      </c>
      <c r="Q400" s="18" t="n">
        <v>-0.93</v>
      </c>
    </row>
    <row r="401" customFormat="false" ht="15" hidden="false" customHeight="false" outlineLevel="0" collapsed="false">
      <c r="A401" s="18" t="n">
        <v>100</v>
      </c>
      <c r="B401" s="18" t="s">
        <v>710</v>
      </c>
      <c r="C401" s="18" t="s">
        <v>634</v>
      </c>
      <c r="D401" s="18" t="s">
        <v>495</v>
      </c>
      <c r="E401" s="18" t="n">
        <v>1</v>
      </c>
      <c r="F401" s="18" t="n">
        <v>1</v>
      </c>
      <c r="G401" s="20" t="n">
        <v>0.075</v>
      </c>
      <c r="H401" s="20" t="n">
        <v>0.007</v>
      </c>
      <c r="I401" s="28" t="n">
        <v>254.4</v>
      </c>
      <c r="J401" s="28" t="n">
        <v>1446.9</v>
      </c>
      <c r="K401" s="28" t="n">
        <v>128.1</v>
      </c>
      <c r="L401" s="18"/>
      <c r="M401" s="19" t="n">
        <v>0.907</v>
      </c>
      <c r="N401" s="28" t="n">
        <v>9.39</v>
      </c>
      <c r="O401" s="18" t="n">
        <v>30</v>
      </c>
      <c r="P401" s="18" t="n">
        <v>-1.75</v>
      </c>
      <c r="Q401" s="18" t="n">
        <v>-0.93</v>
      </c>
    </row>
    <row r="402" customFormat="false" ht="15" hidden="false" customHeight="false" outlineLevel="0" collapsed="false">
      <c r="A402" s="18" t="n">
        <v>101</v>
      </c>
      <c r="B402" s="18" t="s">
        <v>711</v>
      </c>
      <c r="C402" s="18" t="s">
        <v>691</v>
      </c>
      <c r="D402" s="18" t="s">
        <v>491</v>
      </c>
      <c r="E402" s="18" t="n">
        <v>0</v>
      </c>
      <c r="F402" s="18" t="n">
        <v>0</v>
      </c>
      <c r="G402" s="20" t="n">
        <v>-0.0768</v>
      </c>
      <c r="H402" s="20" t="n">
        <v>0.005</v>
      </c>
      <c r="I402" s="28" t="n">
        <v>217.6</v>
      </c>
      <c r="J402" s="28" t="n">
        <v>1344.3</v>
      </c>
      <c r="K402" s="28" t="n">
        <v>130</v>
      </c>
      <c r="L402" s="29" t="n">
        <v>1.525</v>
      </c>
      <c r="M402" s="19" t="n">
        <v>1.022</v>
      </c>
      <c r="N402" s="28" t="n">
        <v>9.4</v>
      </c>
      <c r="O402" s="18" t="n">
        <v>29</v>
      </c>
      <c r="P402" s="18" t="n">
        <v>-1.75</v>
      </c>
      <c r="Q402" s="18" t="n">
        <v>-0.93</v>
      </c>
    </row>
    <row r="403" customFormat="false" ht="15" hidden="false" customHeight="false" outlineLevel="0" collapsed="false">
      <c r="A403" s="18" t="n">
        <v>101</v>
      </c>
      <c r="B403" s="18" t="s">
        <v>711</v>
      </c>
      <c r="C403" s="18" t="s">
        <v>691</v>
      </c>
      <c r="D403" s="18" t="s">
        <v>492</v>
      </c>
      <c r="E403" s="18" t="n">
        <v>1</v>
      </c>
      <c r="F403" s="18" t="n">
        <v>0</v>
      </c>
      <c r="G403" s="20" t="n">
        <v>-0.0711</v>
      </c>
      <c r="H403" s="20" t="n">
        <v>0.0046</v>
      </c>
      <c r="I403" s="28" t="n">
        <v>227.5</v>
      </c>
      <c r="J403" s="28" t="n">
        <v>1458</v>
      </c>
      <c r="K403" s="28" t="n">
        <v>138</v>
      </c>
      <c r="L403" s="29" t="n">
        <v>1.312</v>
      </c>
      <c r="M403" s="19" t="n">
        <v>1.574</v>
      </c>
      <c r="N403" s="28" t="n">
        <v>10.43</v>
      </c>
      <c r="O403" s="18" t="n">
        <v>29</v>
      </c>
      <c r="P403" s="18" t="n">
        <v>-1.75</v>
      </c>
      <c r="Q403" s="18" t="n">
        <v>-0.93</v>
      </c>
    </row>
    <row r="404" customFormat="false" ht="15" hidden="false" customHeight="false" outlineLevel="0" collapsed="false">
      <c r="A404" s="18" t="n">
        <v>101</v>
      </c>
      <c r="B404" s="18" t="s">
        <v>712</v>
      </c>
      <c r="C404" s="18" t="s">
        <v>691</v>
      </c>
      <c r="D404" s="18" t="s">
        <v>494</v>
      </c>
      <c r="E404" s="18" t="n">
        <v>0</v>
      </c>
      <c r="F404" s="18" t="n">
        <v>1</v>
      </c>
      <c r="G404" s="20" t="n">
        <v>0.1213</v>
      </c>
      <c r="H404" s="20" t="n">
        <v>0.006</v>
      </c>
      <c r="I404" s="28" t="n">
        <v>220.2</v>
      </c>
      <c r="J404" s="28" t="n">
        <v>1337.8</v>
      </c>
      <c r="K404" s="28" t="n">
        <v>146.6</v>
      </c>
      <c r="L404" s="29" t="n">
        <v>0.95</v>
      </c>
      <c r="M404" s="19" t="n">
        <v>1.369</v>
      </c>
      <c r="N404" s="28" t="n">
        <v>9.03</v>
      </c>
      <c r="O404" s="18" t="n">
        <v>33</v>
      </c>
      <c r="P404" s="18" t="n">
        <v>-1.75</v>
      </c>
      <c r="Q404" s="18" t="n">
        <v>-0.93</v>
      </c>
    </row>
    <row r="405" customFormat="false" ht="15" hidden="false" customHeight="false" outlineLevel="0" collapsed="false">
      <c r="A405" s="18" t="n">
        <v>101</v>
      </c>
      <c r="B405" s="18" t="s">
        <v>713</v>
      </c>
      <c r="C405" s="18" t="s">
        <v>691</v>
      </c>
      <c r="D405" s="18" t="s">
        <v>495</v>
      </c>
      <c r="E405" s="18" t="n">
        <v>1</v>
      </c>
      <c r="F405" s="18" t="n">
        <v>1</v>
      </c>
      <c r="G405" s="20" t="n">
        <v>0.1043</v>
      </c>
      <c r="H405" s="20" t="n">
        <v>0.0049</v>
      </c>
      <c r="I405" s="28" t="n">
        <v>230.2</v>
      </c>
      <c r="J405" s="28" t="n">
        <v>1452.6</v>
      </c>
      <c r="K405" s="28" t="n">
        <v>141.8</v>
      </c>
      <c r="L405" s="29" t="n">
        <v>4.863</v>
      </c>
      <c r="M405" s="19" t="n">
        <v>0.89</v>
      </c>
      <c r="N405" s="28" t="n">
        <v>9.85</v>
      </c>
      <c r="O405" s="18" t="n">
        <v>33</v>
      </c>
      <c r="P405" s="18" t="n">
        <v>-1.75</v>
      </c>
      <c r="Q405" s="18" t="n">
        <v>-0.93</v>
      </c>
    </row>
    <row r="406" customFormat="false" ht="15" hidden="false" customHeight="false" outlineLevel="0" collapsed="false">
      <c r="A406" s="18" t="n">
        <v>102</v>
      </c>
      <c r="B406" s="18" t="s">
        <v>714</v>
      </c>
      <c r="C406" s="18" t="s">
        <v>672</v>
      </c>
      <c r="D406" s="18" t="s">
        <v>491</v>
      </c>
      <c r="E406" s="18" t="n">
        <v>0</v>
      </c>
      <c r="F406" s="18" t="n">
        <v>0</v>
      </c>
      <c r="G406" s="20" t="n">
        <v>-0.0807</v>
      </c>
      <c r="H406" s="20" t="n">
        <v>0.0102</v>
      </c>
      <c r="I406" s="28" t="n">
        <v>222.7</v>
      </c>
      <c r="J406" s="28" t="n">
        <v>1926.8</v>
      </c>
      <c r="K406" s="28" t="n">
        <v>169.5</v>
      </c>
      <c r="L406" s="18"/>
      <c r="M406" s="19" t="n">
        <v>0.724</v>
      </c>
      <c r="N406" s="28" t="n">
        <v>9.12</v>
      </c>
      <c r="O406" s="18" t="n">
        <v>33</v>
      </c>
      <c r="P406" s="18" t="n">
        <v>-2</v>
      </c>
      <c r="Q406" s="18" t="n">
        <v>-0.93</v>
      </c>
    </row>
    <row r="407" customFormat="false" ht="15" hidden="false" customHeight="false" outlineLevel="0" collapsed="false">
      <c r="A407" s="18" t="n">
        <v>102</v>
      </c>
      <c r="B407" s="18" t="s">
        <v>714</v>
      </c>
      <c r="C407" s="18" t="s">
        <v>672</v>
      </c>
      <c r="D407" s="18" t="s">
        <v>492</v>
      </c>
      <c r="E407" s="18" t="n">
        <v>1</v>
      </c>
      <c r="F407" s="18" t="n">
        <v>0</v>
      </c>
      <c r="G407" s="20" t="n">
        <v>-0.0666</v>
      </c>
      <c r="H407" s="20" t="n">
        <v>0.0081</v>
      </c>
      <c r="I407" s="28" t="n">
        <v>223.4</v>
      </c>
      <c r="J407" s="28" t="n">
        <v>2048.6</v>
      </c>
      <c r="K407" s="28" t="n">
        <v>180.1</v>
      </c>
      <c r="L407" s="18"/>
      <c r="M407" s="19" t="n">
        <v>0.794</v>
      </c>
      <c r="N407" s="28" t="n">
        <v>11.04</v>
      </c>
      <c r="O407" s="18" t="n">
        <v>33</v>
      </c>
      <c r="P407" s="18" t="n">
        <v>-2</v>
      </c>
      <c r="Q407" s="18" t="n">
        <v>-0.93</v>
      </c>
    </row>
    <row r="408" customFormat="false" ht="15" hidden="false" customHeight="false" outlineLevel="0" collapsed="false">
      <c r="A408" s="18" t="n">
        <v>102</v>
      </c>
      <c r="B408" s="18" t="s">
        <v>715</v>
      </c>
      <c r="C408" s="18" t="s">
        <v>672</v>
      </c>
      <c r="D408" s="18" t="s">
        <v>494</v>
      </c>
      <c r="E408" s="18" t="n">
        <v>0</v>
      </c>
      <c r="F408" s="18" t="n">
        <v>1</v>
      </c>
      <c r="G408" s="20" t="n">
        <v>0.1497</v>
      </c>
      <c r="H408" s="20" t="n">
        <v>0.0064</v>
      </c>
      <c r="I408" s="28" t="n">
        <v>253.3</v>
      </c>
      <c r="J408" s="28" t="n">
        <v>1923.7</v>
      </c>
      <c r="K408" s="28" t="n">
        <v>169</v>
      </c>
      <c r="L408" s="29" t="n">
        <v>5.263</v>
      </c>
      <c r="M408" s="19" t="n">
        <v>1.009</v>
      </c>
      <c r="N408" s="28" t="n">
        <v>9.66</v>
      </c>
      <c r="O408" s="18" t="n">
        <v>33</v>
      </c>
      <c r="P408" s="18" t="n">
        <v>-2</v>
      </c>
      <c r="Q408" s="18" t="n">
        <v>-0.93</v>
      </c>
    </row>
    <row r="409" customFormat="false" ht="15" hidden="false" customHeight="false" outlineLevel="0" collapsed="false">
      <c r="A409" s="18" t="n">
        <v>102</v>
      </c>
      <c r="B409" s="18" t="s">
        <v>715</v>
      </c>
      <c r="C409" s="18" t="s">
        <v>672</v>
      </c>
      <c r="D409" s="18" t="s">
        <v>495</v>
      </c>
      <c r="E409" s="18" t="n">
        <v>1</v>
      </c>
      <c r="F409" s="18" t="n">
        <v>1</v>
      </c>
      <c r="G409" s="20" t="n">
        <v>0.1425</v>
      </c>
      <c r="H409" s="20" t="n">
        <v>0.0042</v>
      </c>
      <c r="I409" s="28" t="n">
        <v>251.6</v>
      </c>
      <c r="J409" s="28" t="n">
        <v>2048.2</v>
      </c>
      <c r="K409" s="28" t="n">
        <v>160.8</v>
      </c>
      <c r="L409" s="29" t="n">
        <v>0.885</v>
      </c>
      <c r="M409" s="19" t="n">
        <v>1.218</v>
      </c>
      <c r="N409" s="28" t="n">
        <v>9.9</v>
      </c>
      <c r="O409" s="18" t="n">
        <v>33</v>
      </c>
      <c r="P409" s="18" t="n">
        <v>-2</v>
      </c>
      <c r="Q409" s="18" t="n">
        <v>-0.93</v>
      </c>
    </row>
    <row r="410" customFormat="false" ht="15" hidden="false" customHeight="false" outlineLevel="0" collapsed="false">
      <c r="A410" s="18" t="n">
        <v>103</v>
      </c>
      <c r="B410" s="18" t="s">
        <v>716</v>
      </c>
      <c r="C410" s="18" t="s">
        <v>672</v>
      </c>
      <c r="D410" s="18" t="s">
        <v>491</v>
      </c>
      <c r="E410" s="18" t="n">
        <v>0</v>
      </c>
      <c r="F410" s="18" t="n">
        <v>0</v>
      </c>
      <c r="G410" s="20" t="n">
        <v>-0.0913</v>
      </c>
      <c r="H410" s="20" t="n">
        <v>0.0076</v>
      </c>
      <c r="I410" s="28" t="n">
        <v>241.9</v>
      </c>
      <c r="J410" s="28" t="n">
        <v>1926.5</v>
      </c>
      <c r="K410" s="28" t="n">
        <v>150.5</v>
      </c>
      <c r="L410" s="29" t="n">
        <v>2.342</v>
      </c>
      <c r="M410" s="19" t="n">
        <v>1.88</v>
      </c>
      <c r="N410" s="28" t="n">
        <v>12.08</v>
      </c>
      <c r="O410" s="18" t="n">
        <v>31</v>
      </c>
      <c r="P410" s="18" t="n">
        <v>-2</v>
      </c>
      <c r="Q410" s="18" t="n">
        <v>-0.93</v>
      </c>
    </row>
    <row r="411" customFormat="false" ht="15" hidden="false" customHeight="false" outlineLevel="0" collapsed="false">
      <c r="A411" s="18" t="n">
        <v>103</v>
      </c>
      <c r="B411" s="18" t="s">
        <v>716</v>
      </c>
      <c r="C411" s="18" t="s">
        <v>672</v>
      </c>
      <c r="D411" s="18" t="s">
        <v>492</v>
      </c>
      <c r="E411" s="18" t="n">
        <v>1</v>
      </c>
      <c r="F411" s="18" t="n">
        <v>0</v>
      </c>
      <c r="G411" s="20" t="n">
        <v>-0.0848</v>
      </c>
      <c r="H411" s="20" t="n">
        <v>0.0055</v>
      </c>
      <c r="I411" s="28" t="n">
        <v>233.5</v>
      </c>
      <c r="J411" s="28" t="n">
        <v>2047.2</v>
      </c>
      <c r="K411" s="28" t="n">
        <v>143.1</v>
      </c>
      <c r="L411" s="29" t="n">
        <v>2.21</v>
      </c>
      <c r="M411" s="19" t="n">
        <v>1.07</v>
      </c>
      <c r="N411" s="28" t="n">
        <v>11.42</v>
      </c>
      <c r="O411" s="18" t="n">
        <v>31</v>
      </c>
      <c r="P411" s="18" t="n">
        <v>-2</v>
      </c>
      <c r="Q411" s="18" t="n">
        <v>-0.93</v>
      </c>
    </row>
    <row r="412" customFormat="false" ht="15" hidden="false" customHeight="false" outlineLevel="0" collapsed="false">
      <c r="A412" s="18" t="n">
        <v>103</v>
      </c>
      <c r="B412" s="18" t="s">
        <v>717</v>
      </c>
      <c r="C412" s="18" t="s">
        <v>672</v>
      </c>
      <c r="D412" s="18" t="s">
        <v>494</v>
      </c>
      <c r="E412" s="18" t="n">
        <v>0</v>
      </c>
      <c r="F412" s="18" t="n">
        <v>1</v>
      </c>
      <c r="G412" s="20" t="n">
        <v>0.1436</v>
      </c>
      <c r="H412" s="20" t="n">
        <v>0.005</v>
      </c>
      <c r="I412" s="28" t="n">
        <v>245.1</v>
      </c>
      <c r="J412" s="28" t="n">
        <v>1922.3</v>
      </c>
      <c r="K412" s="28" t="n">
        <v>145.1</v>
      </c>
      <c r="L412" s="29" t="n">
        <v>1.576</v>
      </c>
      <c r="M412" s="19" t="n">
        <v>1.187</v>
      </c>
      <c r="N412" s="28" t="n">
        <v>11.11</v>
      </c>
      <c r="O412" s="18" t="n">
        <v>30</v>
      </c>
      <c r="P412" s="18" t="n">
        <v>-2</v>
      </c>
      <c r="Q412" s="18" t="n">
        <v>-0.93</v>
      </c>
    </row>
    <row r="413" customFormat="false" ht="15" hidden="false" customHeight="false" outlineLevel="0" collapsed="false">
      <c r="A413" s="18" t="n">
        <v>103</v>
      </c>
      <c r="B413" s="18" t="s">
        <v>717</v>
      </c>
      <c r="C413" s="18" t="s">
        <v>672</v>
      </c>
      <c r="D413" s="18" t="s">
        <v>495</v>
      </c>
      <c r="E413" s="18" t="n">
        <v>1</v>
      </c>
      <c r="F413" s="18" t="n">
        <v>1</v>
      </c>
      <c r="G413" s="20" t="n">
        <v>0.1338</v>
      </c>
      <c r="H413" s="20" t="n">
        <v>0.0052</v>
      </c>
      <c r="I413" s="28" t="n">
        <v>236.2</v>
      </c>
      <c r="J413" s="28" t="n">
        <v>2045.6</v>
      </c>
      <c r="K413" s="28" t="n">
        <v>142.7</v>
      </c>
      <c r="L413" s="29" t="n">
        <v>0.62</v>
      </c>
      <c r="M413" s="19" t="n">
        <v>1.072</v>
      </c>
      <c r="N413" s="28" t="n">
        <v>11.86</v>
      </c>
      <c r="O413" s="18" t="n">
        <v>30</v>
      </c>
      <c r="P413" s="18" t="n">
        <v>-2</v>
      </c>
      <c r="Q413" s="18" t="n">
        <v>-0.93</v>
      </c>
    </row>
    <row r="414" customFormat="false" ht="15" hidden="false" customHeight="false" outlineLevel="0" collapsed="false">
      <c r="A414" s="18" t="n">
        <v>104</v>
      </c>
      <c r="B414" s="18" t="s">
        <v>718</v>
      </c>
      <c r="C414" s="18" t="s">
        <v>634</v>
      </c>
      <c r="D414" s="18" t="s">
        <v>491</v>
      </c>
      <c r="E414" s="18" t="n">
        <v>0</v>
      </c>
      <c r="F414" s="18" t="n">
        <v>0</v>
      </c>
      <c r="G414" s="20" t="n">
        <v>-0.0656</v>
      </c>
      <c r="H414" s="20" t="n">
        <v>0.0049</v>
      </c>
      <c r="I414" s="28" t="n">
        <v>228.9</v>
      </c>
      <c r="J414" s="28" t="n">
        <v>1339</v>
      </c>
      <c r="K414" s="28" t="n">
        <v>172.3</v>
      </c>
      <c r="L414" s="29" t="n">
        <v>2.395</v>
      </c>
      <c r="M414" s="19" t="n">
        <v>1.691</v>
      </c>
      <c r="N414" s="28" t="n">
        <v>10.84</v>
      </c>
      <c r="O414" s="18" t="n">
        <v>36</v>
      </c>
      <c r="P414" s="18" t="n">
        <v>-1.75</v>
      </c>
      <c r="Q414" s="18" t="n">
        <v>-0.93</v>
      </c>
    </row>
    <row r="415" customFormat="false" ht="15" hidden="false" customHeight="false" outlineLevel="0" collapsed="false">
      <c r="A415" s="18" t="n">
        <v>104</v>
      </c>
      <c r="B415" s="18" t="s">
        <v>718</v>
      </c>
      <c r="C415" s="18" t="s">
        <v>634</v>
      </c>
      <c r="D415" s="18" t="s">
        <v>492</v>
      </c>
      <c r="E415" s="18" t="n">
        <v>1</v>
      </c>
      <c r="F415" s="18" t="n">
        <v>0</v>
      </c>
      <c r="G415" s="20" t="n">
        <v>-0.0741</v>
      </c>
      <c r="H415" s="20" t="n">
        <v>0.0053</v>
      </c>
      <c r="I415" s="28" t="n">
        <v>213.2</v>
      </c>
      <c r="J415" s="28" t="n">
        <v>1455.5</v>
      </c>
      <c r="K415" s="28" t="n">
        <v>169.8</v>
      </c>
      <c r="L415" s="18"/>
      <c r="M415" s="19" t="n">
        <v>1.172</v>
      </c>
      <c r="N415" s="28" t="n">
        <v>9.31</v>
      </c>
      <c r="O415" s="18" t="n">
        <v>36</v>
      </c>
      <c r="P415" s="18" t="n">
        <v>-1.75</v>
      </c>
      <c r="Q415" s="18" t="n">
        <v>-0.93</v>
      </c>
    </row>
    <row r="416" customFormat="false" ht="15" hidden="false" customHeight="false" outlineLevel="0" collapsed="false">
      <c r="A416" s="18" t="n">
        <v>104</v>
      </c>
      <c r="B416" s="18" t="s">
        <v>719</v>
      </c>
      <c r="C416" s="18" t="s">
        <v>634</v>
      </c>
      <c r="D416" s="18" t="s">
        <v>494</v>
      </c>
      <c r="E416" s="18" t="n">
        <v>0</v>
      </c>
      <c r="F416" s="18" t="n">
        <v>1</v>
      </c>
      <c r="G416" s="20" t="n">
        <v>0.1194</v>
      </c>
      <c r="H416" s="20" t="n">
        <v>0.005</v>
      </c>
      <c r="I416" s="28" t="n">
        <v>235</v>
      </c>
      <c r="J416" s="28" t="n">
        <v>1336.6</v>
      </c>
      <c r="K416" s="28" t="n">
        <v>186.7</v>
      </c>
      <c r="L416" s="29" t="n">
        <v>2.002</v>
      </c>
      <c r="M416" s="19" t="n">
        <v>1.09</v>
      </c>
      <c r="N416" s="28" t="n">
        <v>10.88</v>
      </c>
      <c r="O416" s="18" t="n">
        <v>37</v>
      </c>
      <c r="P416" s="18" t="n">
        <v>-1.75</v>
      </c>
      <c r="Q416" s="18" t="n">
        <v>-0.93</v>
      </c>
    </row>
    <row r="417" customFormat="false" ht="15" hidden="false" customHeight="false" outlineLevel="0" collapsed="false">
      <c r="A417" s="18" t="n">
        <v>104</v>
      </c>
      <c r="B417" s="18" t="s">
        <v>719</v>
      </c>
      <c r="C417" s="18" t="s">
        <v>634</v>
      </c>
      <c r="D417" s="18" t="s">
        <v>495</v>
      </c>
      <c r="E417" s="18" t="n">
        <v>1</v>
      </c>
      <c r="F417" s="18" t="n">
        <v>1</v>
      </c>
      <c r="G417" s="20" t="n">
        <v>0.1042</v>
      </c>
      <c r="H417" s="20" t="n">
        <v>0.0056</v>
      </c>
      <c r="I417" s="28" t="n">
        <v>224.3</v>
      </c>
      <c r="J417" s="28" t="n">
        <v>1455</v>
      </c>
      <c r="K417" s="28" t="n">
        <v>203.6</v>
      </c>
      <c r="L417" s="18"/>
      <c r="M417" s="19" t="n">
        <v>1.422</v>
      </c>
      <c r="N417" s="28" t="n">
        <v>9.78</v>
      </c>
      <c r="O417" s="18" t="n">
        <v>37</v>
      </c>
      <c r="P417" s="18" t="n">
        <v>-1.75</v>
      </c>
      <c r="Q417" s="18" t="n">
        <v>-0.93</v>
      </c>
    </row>
    <row r="418" customFormat="false" ht="15" hidden="false" customHeight="false" outlineLevel="0" collapsed="false">
      <c r="A418" s="18" t="n">
        <v>105</v>
      </c>
      <c r="B418" s="18" t="s">
        <v>720</v>
      </c>
      <c r="C418" s="18" t="s">
        <v>634</v>
      </c>
      <c r="D418" s="18" t="s">
        <v>491</v>
      </c>
      <c r="E418" s="18" t="n">
        <v>0</v>
      </c>
      <c r="F418" s="18" t="n">
        <v>0</v>
      </c>
      <c r="G418" s="20" t="n">
        <v>-0.0768</v>
      </c>
      <c r="H418" s="20" t="n">
        <v>0.0072</v>
      </c>
      <c r="I418" s="28" t="n">
        <v>246.8</v>
      </c>
      <c r="J418" s="28" t="n">
        <v>1338.7</v>
      </c>
      <c r="K418" s="28" t="n">
        <v>148.7</v>
      </c>
      <c r="L418" s="29" t="n">
        <v>3.104</v>
      </c>
      <c r="M418" s="19" t="n">
        <v>1.294</v>
      </c>
      <c r="N418" s="28" t="n">
        <v>8.45</v>
      </c>
      <c r="O418" s="18" t="n">
        <v>33</v>
      </c>
      <c r="P418" s="18" t="n">
        <v>-1.75</v>
      </c>
      <c r="Q418" s="18" t="n">
        <v>-0.93</v>
      </c>
    </row>
    <row r="419" customFormat="false" ht="15" hidden="false" customHeight="false" outlineLevel="0" collapsed="false">
      <c r="A419" s="18" t="n">
        <v>105</v>
      </c>
      <c r="B419" s="18" t="s">
        <v>720</v>
      </c>
      <c r="C419" s="18" t="s">
        <v>634</v>
      </c>
      <c r="D419" s="18" t="s">
        <v>492</v>
      </c>
      <c r="E419" s="18" t="n">
        <v>1</v>
      </c>
      <c r="F419" s="18" t="n">
        <v>0</v>
      </c>
      <c r="G419" s="20" t="n">
        <v>-0.0661</v>
      </c>
      <c r="H419" s="20" t="n">
        <v>0.0059</v>
      </c>
      <c r="I419" s="28" t="n">
        <v>229.7</v>
      </c>
      <c r="J419" s="28" t="n">
        <v>1455.5</v>
      </c>
      <c r="K419" s="28" t="n">
        <v>169.1</v>
      </c>
      <c r="L419" s="18"/>
      <c r="M419" s="19" t="n">
        <v>0.779</v>
      </c>
      <c r="N419" s="28" t="n">
        <v>7.87</v>
      </c>
      <c r="O419" s="18" t="n">
        <v>33</v>
      </c>
      <c r="P419" s="18" t="n">
        <v>-1.75</v>
      </c>
      <c r="Q419" s="18" t="n">
        <v>-0.93</v>
      </c>
    </row>
    <row r="420" customFormat="false" ht="15" hidden="false" customHeight="false" outlineLevel="0" collapsed="false">
      <c r="A420" s="18" t="n">
        <v>105</v>
      </c>
      <c r="B420" s="18" t="s">
        <v>721</v>
      </c>
      <c r="C420" s="18" t="s">
        <v>634</v>
      </c>
      <c r="D420" s="18" t="s">
        <v>494</v>
      </c>
      <c r="E420" s="18" t="n">
        <v>0</v>
      </c>
      <c r="F420" s="18" t="n">
        <v>1</v>
      </c>
      <c r="G420" s="20" t="n">
        <v>0.106</v>
      </c>
      <c r="H420" s="20" t="n">
        <v>0.0072</v>
      </c>
      <c r="I420" s="28" t="n">
        <v>231</v>
      </c>
      <c r="J420" s="28" t="n">
        <v>1339.4</v>
      </c>
      <c r="K420" s="28" t="n">
        <v>131</v>
      </c>
      <c r="L420" s="29" t="n">
        <v>0.33</v>
      </c>
      <c r="M420" s="19" t="n">
        <v>1.566</v>
      </c>
      <c r="N420" s="28" t="n">
        <v>9.6</v>
      </c>
      <c r="O420" s="18" t="n">
        <v>31</v>
      </c>
      <c r="P420" s="18" t="n">
        <v>-1.75</v>
      </c>
      <c r="Q420" s="18" t="n">
        <v>-0.93</v>
      </c>
    </row>
    <row r="421" customFormat="false" ht="15" hidden="false" customHeight="false" outlineLevel="0" collapsed="false">
      <c r="A421" s="18" t="n">
        <v>105</v>
      </c>
      <c r="B421" s="18" t="s">
        <v>721</v>
      </c>
      <c r="C421" s="18" t="s">
        <v>634</v>
      </c>
      <c r="D421" s="18" t="s">
        <v>495</v>
      </c>
      <c r="E421" s="18" t="n">
        <v>1</v>
      </c>
      <c r="F421" s="18" t="n">
        <v>1</v>
      </c>
      <c r="G421" s="20" t="n">
        <v>0.0974</v>
      </c>
      <c r="H421" s="20" t="n">
        <v>0.0073</v>
      </c>
      <c r="I421" s="28" t="n">
        <v>236.2</v>
      </c>
      <c r="J421" s="28" t="n">
        <v>1453.6</v>
      </c>
      <c r="K421" s="28" t="n">
        <v>132.4</v>
      </c>
      <c r="L421" s="29" t="n">
        <v>1.024</v>
      </c>
      <c r="M421" s="19" t="n">
        <v>0.552</v>
      </c>
      <c r="N421" s="28" t="n">
        <v>10.36</v>
      </c>
      <c r="O421" s="18" t="n">
        <v>31</v>
      </c>
      <c r="P421" s="18" t="n">
        <v>-1.75</v>
      </c>
      <c r="Q421" s="18" t="n">
        <v>-0.93</v>
      </c>
    </row>
    <row r="422" customFormat="false" ht="15" hidden="false" customHeight="false" outlineLevel="0" collapsed="false">
      <c r="A422" s="18" t="n">
        <v>106</v>
      </c>
      <c r="B422" s="18" t="s">
        <v>722</v>
      </c>
      <c r="C422" s="18" t="s">
        <v>723</v>
      </c>
      <c r="D422" s="18" t="s">
        <v>491</v>
      </c>
      <c r="E422" s="18" t="n">
        <v>0</v>
      </c>
      <c r="F422" s="18" t="n">
        <v>0</v>
      </c>
      <c r="G422" s="20" t="n">
        <v>-0.0917</v>
      </c>
      <c r="H422" s="20" t="n">
        <v>0.0056</v>
      </c>
      <c r="I422" s="28" t="n">
        <v>250.7</v>
      </c>
      <c r="J422" s="28" t="n">
        <v>1926.7</v>
      </c>
      <c r="K422" s="28" t="n">
        <v>147</v>
      </c>
      <c r="L422" s="18"/>
      <c r="M422" s="19" t="n">
        <v>1.466</v>
      </c>
      <c r="N422" s="28" t="n">
        <v>10.62</v>
      </c>
      <c r="O422" s="18" t="n">
        <v>30</v>
      </c>
      <c r="P422" s="18" t="n">
        <v>-2</v>
      </c>
      <c r="Q422" s="18" t="n">
        <v>-0.93</v>
      </c>
    </row>
    <row r="423" customFormat="false" ht="15" hidden="false" customHeight="false" outlineLevel="0" collapsed="false">
      <c r="A423" s="18" t="n">
        <v>106</v>
      </c>
      <c r="B423" s="18" t="s">
        <v>722</v>
      </c>
      <c r="C423" s="18" t="s">
        <v>723</v>
      </c>
      <c r="D423" s="18" t="s">
        <v>492</v>
      </c>
      <c r="E423" s="18" t="n">
        <v>1</v>
      </c>
      <c r="F423" s="18" t="n">
        <v>0</v>
      </c>
      <c r="G423" s="20" t="n">
        <v>-0.0873</v>
      </c>
      <c r="H423" s="20" t="n">
        <v>0.0067</v>
      </c>
      <c r="I423" s="28" t="n">
        <v>225.8</v>
      </c>
      <c r="J423" s="28" t="n">
        <v>2046.6</v>
      </c>
      <c r="K423" s="28" t="n">
        <v>151.1</v>
      </c>
      <c r="L423" s="29" t="n">
        <v>1.482</v>
      </c>
      <c r="M423" s="19" t="n">
        <v>1.268</v>
      </c>
      <c r="N423" s="28" t="n">
        <v>8.79</v>
      </c>
      <c r="O423" s="18" t="n">
        <v>30</v>
      </c>
      <c r="P423" s="18" t="n">
        <v>-2</v>
      </c>
      <c r="Q423" s="18" t="n">
        <v>-0.93</v>
      </c>
    </row>
    <row r="424" customFormat="false" ht="15" hidden="false" customHeight="false" outlineLevel="0" collapsed="false">
      <c r="A424" s="18" t="n">
        <v>106</v>
      </c>
      <c r="B424" s="18" t="s">
        <v>724</v>
      </c>
      <c r="C424" s="18" t="s">
        <v>723</v>
      </c>
      <c r="D424" s="18" t="s">
        <v>494</v>
      </c>
      <c r="E424" s="18" t="n">
        <v>0</v>
      </c>
      <c r="F424" s="18" t="n">
        <v>1</v>
      </c>
      <c r="G424" s="20" t="n">
        <v>0.1547</v>
      </c>
      <c r="H424" s="20" t="n">
        <v>0.0063</v>
      </c>
      <c r="I424" s="28" t="n">
        <v>244.7</v>
      </c>
      <c r="J424" s="28" t="n">
        <v>1923.2</v>
      </c>
      <c r="K424" s="28" t="n">
        <v>129.4</v>
      </c>
      <c r="L424" s="18"/>
      <c r="M424" s="19" t="n">
        <v>1.572</v>
      </c>
      <c r="N424" s="28" t="n">
        <v>11.5</v>
      </c>
      <c r="O424" s="18" t="n">
        <v>31</v>
      </c>
      <c r="P424" s="18" t="n">
        <v>-2</v>
      </c>
      <c r="Q424" s="18" t="n">
        <v>-0.93</v>
      </c>
    </row>
    <row r="425" customFormat="false" ht="15" hidden="false" customHeight="false" outlineLevel="0" collapsed="false">
      <c r="A425" s="18" t="n">
        <v>106</v>
      </c>
      <c r="B425" s="18" t="s">
        <v>724</v>
      </c>
      <c r="C425" s="18" t="s">
        <v>723</v>
      </c>
      <c r="D425" s="18" t="s">
        <v>495</v>
      </c>
      <c r="E425" s="18" t="n">
        <v>1</v>
      </c>
      <c r="F425" s="18" t="n">
        <v>1</v>
      </c>
      <c r="G425" s="20" t="n">
        <v>0.1349</v>
      </c>
      <c r="H425" s="20" t="n">
        <v>0.006</v>
      </c>
      <c r="I425" s="28" t="n">
        <v>227.9</v>
      </c>
      <c r="J425" s="28" t="n">
        <v>2047.2</v>
      </c>
      <c r="K425" s="28" t="n">
        <v>133.8</v>
      </c>
      <c r="L425" s="29" t="n">
        <v>0.873</v>
      </c>
      <c r="M425" s="19" t="n">
        <v>0.929</v>
      </c>
      <c r="N425" s="28" t="n">
        <v>10.91</v>
      </c>
      <c r="O425" s="18" t="n">
        <v>31</v>
      </c>
      <c r="P425" s="18" t="n">
        <v>-2</v>
      </c>
      <c r="Q425" s="18" t="n">
        <v>-0.93</v>
      </c>
    </row>
    <row r="426" customFormat="false" ht="15" hidden="false" customHeight="false" outlineLevel="0" collapsed="false">
      <c r="A426" s="18" t="n">
        <v>107</v>
      </c>
      <c r="B426" s="18" t="s">
        <v>725</v>
      </c>
      <c r="C426" s="18" t="s">
        <v>500</v>
      </c>
      <c r="D426" s="18" t="s">
        <v>491</v>
      </c>
      <c r="E426" s="18" t="n">
        <v>0</v>
      </c>
      <c r="F426" s="18" t="n">
        <v>0</v>
      </c>
      <c r="G426" s="20" t="n">
        <v>-0.0457</v>
      </c>
      <c r="H426" s="20" t="n">
        <v>0.0076</v>
      </c>
      <c r="I426" s="28" t="n">
        <v>191.6</v>
      </c>
      <c r="J426" s="28" t="n">
        <v>525.2</v>
      </c>
      <c r="K426" s="28" t="n">
        <v>113.5</v>
      </c>
      <c r="L426" s="18"/>
      <c r="M426" s="19" t="n">
        <v>0.735</v>
      </c>
      <c r="N426" s="28" t="n">
        <v>6.58</v>
      </c>
      <c r="O426" s="18" t="n">
        <v>30</v>
      </c>
      <c r="P426" s="18" t="n">
        <v>-1.25</v>
      </c>
      <c r="Q426" s="18" t="n">
        <v>-0.93</v>
      </c>
    </row>
    <row r="427" customFormat="false" ht="15" hidden="false" customHeight="false" outlineLevel="0" collapsed="false">
      <c r="A427" s="18" t="n">
        <v>107</v>
      </c>
      <c r="B427" s="18" t="s">
        <v>725</v>
      </c>
      <c r="C427" s="18" t="s">
        <v>500</v>
      </c>
      <c r="D427" s="18" t="s">
        <v>492</v>
      </c>
      <c r="E427" s="18" t="n">
        <v>1</v>
      </c>
      <c r="F427" s="18" t="n">
        <v>0</v>
      </c>
      <c r="G427" s="20" t="n">
        <v>-0.0458</v>
      </c>
      <c r="H427" s="20" t="n">
        <v>0.007</v>
      </c>
      <c r="I427" s="28" t="n">
        <v>182.3</v>
      </c>
      <c r="J427" s="28" t="n">
        <v>632.9</v>
      </c>
      <c r="K427" s="28" t="n">
        <v>101.8</v>
      </c>
      <c r="L427" s="29" t="n">
        <v>3.69</v>
      </c>
      <c r="M427" s="19" t="n">
        <v>0.716</v>
      </c>
      <c r="N427" s="28" t="n">
        <v>7</v>
      </c>
      <c r="O427" s="18" t="n">
        <v>30</v>
      </c>
      <c r="P427" s="18" t="n">
        <v>-1.25</v>
      </c>
      <c r="Q427" s="18" t="n">
        <v>-0.93</v>
      </c>
    </row>
    <row r="428" customFormat="false" ht="15" hidden="false" customHeight="false" outlineLevel="0" collapsed="false">
      <c r="A428" s="18" t="n">
        <v>107</v>
      </c>
      <c r="B428" s="18" t="s">
        <v>726</v>
      </c>
      <c r="C428" s="18" t="s">
        <v>500</v>
      </c>
      <c r="D428" s="18" t="s">
        <v>494</v>
      </c>
      <c r="E428" s="18" t="n">
        <v>0</v>
      </c>
      <c r="F428" s="18" t="n">
        <v>1</v>
      </c>
      <c r="G428" s="20" t="n">
        <v>0.0386</v>
      </c>
      <c r="H428" s="20" t="n">
        <v>0.0092</v>
      </c>
      <c r="I428" s="28" t="n">
        <v>178.3</v>
      </c>
      <c r="J428" s="28" t="n">
        <v>525.7</v>
      </c>
      <c r="K428" s="28" t="n">
        <v>127.3</v>
      </c>
      <c r="L428" s="29" t="n">
        <v>2.455</v>
      </c>
      <c r="M428" s="19" t="n">
        <v>1.77</v>
      </c>
      <c r="N428" s="28" t="n">
        <v>6.95</v>
      </c>
      <c r="O428" s="18" t="n">
        <v>33</v>
      </c>
      <c r="P428" s="18" t="n">
        <v>-1.25</v>
      </c>
      <c r="Q428" s="18" t="n">
        <v>-0.93</v>
      </c>
    </row>
    <row r="429" customFormat="false" ht="15" hidden="false" customHeight="false" outlineLevel="0" collapsed="false">
      <c r="A429" s="18" t="n">
        <v>107</v>
      </c>
      <c r="B429" s="18" t="s">
        <v>726</v>
      </c>
      <c r="C429" s="18" t="s">
        <v>500</v>
      </c>
      <c r="D429" s="18" t="s">
        <v>495</v>
      </c>
      <c r="E429" s="18" t="n">
        <v>1</v>
      </c>
      <c r="F429" s="18" t="n">
        <v>1</v>
      </c>
      <c r="G429" s="20" t="n">
        <v>0.0351</v>
      </c>
      <c r="H429" s="20" t="n">
        <v>0.0054</v>
      </c>
      <c r="I429" s="28" t="n">
        <v>186.4</v>
      </c>
      <c r="J429" s="28" t="n">
        <v>632.1</v>
      </c>
      <c r="K429" s="28" t="n">
        <v>128.9</v>
      </c>
      <c r="L429" s="18"/>
      <c r="M429" s="19" t="n">
        <v>0.742</v>
      </c>
      <c r="N429" s="28" t="n">
        <v>7.33</v>
      </c>
      <c r="O429" s="18" t="n">
        <v>33</v>
      </c>
      <c r="P429" s="18" t="n">
        <v>-1.25</v>
      </c>
      <c r="Q429" s="18" t="n">
        <v>-0.93</v>
      </c>
    </row>
    <row r="430" customFormat="false" ht="15" hidden="false" customHeight="false" outlineLevel="0" collapsed="false">
      <c r="A430" s="18" t="n">
        <v>108</v>
      </c>
      <c r="B430" s="18" t="s">
        <v>727</v>
      </c>
      <c r="C430" s="18" t="s">
        <v>577</v>
      </c>
      <c r="D430" s="18" t="s">
        <v>491</v>
      </c>
      <c r="E430" s="18" t="n">
        <v>0</v>
      </c>
      <c r="F430" s="18" t="n">
        <v>0</v>
      </c>
      <c r="G430" s="20" t="n">
        <v>-0.0654</v>
      </c>
      <c r="H430" s="20" t="n">
        <v>0.0063</v>
      </c>
      <c r="I430" s="28" t="n">
        <v>206.4</v>
      </c>
      <c r="J430" s="28" t="n">
        <v>871.3</v>
      </c>
      <c r="K430" s="28" t="n">
        <v>110.4</v>
      </c>
      <c r="L430" s="29" t="n">
        <v>2.184</v>
      </c>
      <c r="M430" s="19" t="n">
        <v>0.828</v>
      </c>
      <c r="N430" s="28" t="n">
        <v>7.98</v>
      </c>
      <c r="O430" s="18" t="n">
        <v>30</v>
      </c>
      <c r="P430" s="18" t="n">
        <v>-1.5</v>
      </c>
      <c r="Q430" s="18" t="n">
        <v>-0.93</v>
      </c>
    </row>
    <row r="431" customFormat="false" ht="15" hidden="false" customHeight="false" outlineLevel="0" collapsed="false">
      <c r="A431" s="18" t="n">
        <v>108</v>
      </c>
      <c r="B431" s="18" t="s">
        <v>727</v>
      </c>
      <c r="C431" s="18" t="s">
        <v>577</v>
      </c>
      <c r="D431" s="18" t="s">
        <v>492</v>
      </c>
      <c r="E431" s="18" t="n">
        <v>1</v>
      </c>
      <c r="F431" s="18" t="n">
        <v>0</v>
      </c>
      <c r="G431" s="20" t="n">
        <v>-0.0643</v>
      </c>
      <c r="H431" s="20" t="n">
        <v>0.0059</v>
      </c>
      <c r="I431" s="28" t="n">
        <v>215.5</v>
      </c>
      <c r="J431" s="28" t="n">
        <v>983.4</v>
      </c>
      <c r="K431" s="28" t="n">
        <v>108.9</v>
      </c>
      <c r="L431" s="29" t="n">
        <v>3.876</v>
      </c>
      <c r="M431" s="19" t="n">
        <v>1.448</v>
      </c>
      <c r="N431" s="28" t="n">
        <v>8.91</v>
      </c>
      <c r="O431" s="18" t="n">
        <v>30</v>
      </c>
      <c r="P431" s="18" t="n">
        <v>-1.5</v>
      </c>
      <c r="Q431" s="18" t="n">
        <v>-0.93</v>
      </c>
    </row>
    <row r="432" customFormat="false" ht="15" hidden="false" customHeight="false" outlineLevel="0" collapsed="false">
      <c r="A432" s="18" t="n">
        <v>108</v>
      </c>
      <c r="B432" s="18" t="s">
        <v>728</v>
      </c>
      <c r="C432" s="18" t="s">
        <v>577</v>
      </c>
      <c r="D432" s="18" t="s">
        <v>494</v>
      </c>
      <c r="E432" s="18" t="n">
        <v>0</v>
      </c>
      <c r="F432" s="18" t="n">
        <v>1</v>
      </c>
      <c r="G432" s="20" t="n">
        <v>0.0861</v>
      </c>
      <c r="H432" s="20" t="n">
        <v>0.006</v>
      </c>
      <c r="I432" s="28" t="n">
        <v>203.1</v>
      </c>
      <c r="J432" s="28" t="n">
        <v>872.5</v>
      </c>
      <c r="K432" s="28" t="n">
        <v>145.9</v>
      </c>
      <c r="L432" s="29" t="n">
        <v>1.176</v>
      </c>
      <c r="M432" s="19" t="n">
        <v>0.843</v>
      </c>
      <c r="N432" s="28" t="n">
        <v>8.24</v>
      </c>
      <c r="O432" s="18" t="n">
        <v>29</v>
      </c>
      <c r="P432" s="18" t="n">
        <v>-1.5</v>
      </c>
      <c r="Q432" s="18" t="n">
        <v>-0.93</v>
      </c>
    </row>
    <row r="433" customFormat="false" ht="15" hidden="false" customHeight="false" outlineLevel="0" collapsed="false">
      <c r="A433" s="18" t="n">
        <v>108</v>
      </c>
      <c r="B433" s="18" t="s">
        <v>728</v>
      </c>
      <c r="C433" s="18" t="s">
        <v>577</v>
      </c>
      <c r="D433" s="18" t="s">
        <v>495</v>
      </c>
      <c r="E433" s="18" t="n">
        <v>1</v>
      </c>
      <c r="F433" s="18" t="n">
        <v>1</v>
      </c>
      <c r="G433" s="20" t="n">
        <v>0.0649</v>
      </c>
      <c r="H433" s="20" t="n">
        <v>0.0075</v>
      </c>
      <c r="I433" s="28" t="n">
        <v>214.1</v>
      </c>
      <c r="J433" s="28" t="n">
        <v>983.4</v>
      </c>
      <c r="K433" s="28" t="n">
        <v>144</v>
      </c>
      <c r="L433" s="29" t="n">
        <v>2.442</v>
      </c>
      <c r="M433" s="19" t="n">
        <v>1.114</v>
      </c>
      <c r="N433" s="28" t="n">
        <v>7.99</v>
      </c>
      <c r="O433" s="18" t="n">
        <v>29</v>
      </c>
      <c r="P433" s="18" t="n">
        <v>-1.5</v>
      </c>
      <c r="Q433" s="18" t="n">
        <v>-0.93</v>
      </c>
    </row>
    <row r="434" customFormat="false" ht="15" hidden="false" customHeight="false" outlineLevel="0" collapsed="false">
      <c r="A434" s="18" t="n">
        <v>109</v>
      </c>
      <c r="B434" s="18" t="s">
        <v>729</v>
      </c>
      <c r="C434" s="18" t="s">
        <v>634</v>
      </c>
      <c r="D434" s="18" t="s">
        <v>491</v>
      </c>
      <c r="E434" s="18" t="n">
        <v>0</v>
      </c>
      <c r="F434" s="18" t="n">
        <v>0</v>
      </c>
      <c r="G434" s="20" t="n">
        <v>-0.0696</v>
      </c>
      <c r="H434" s="20" t="n">
        <v>0.0084</v>
      </c>
      <c r="I434" s="28" t="n">
        <v>220.3</v>
      </c>
      <c r="J434" s="28" t="n">
        <v>1336.9</v>
      </c>
      <c r="K434" s="28" t="n">
        <v>151.8</v>
      </c>
      <c r="L434" s="29" t="n">
        <v>1.058</v>
      </c>
      <c r="M434" s="19" t="n">
        <v>1.144</v>
      </c>
      <c r="N434" s="28" t="n">
        <v>10.89</v>
      </c>
      <c r="O434" s="18" t="n">
        <v>33</v>
      </c>
      <c r="P434" s="18" t="n">
        <v>-1.75</v>
      </c>
      <c r="Q434" s="18" t="n">
        <v>-0.93</v>
      </c>
    </row>
    <row r="435" customFormat="false" ht="15" hidden="false" customHeight="false" outlineLevel="0" collapsed="false">
      <c r="A435" s="18" t="n">
        <v>109</v>
      </c>
      <c r="B435" s="18" t="s">
        <v>729</v>
      </c>
      <c r="C435" s="18" t="s">
        <v>634</v>
      </c>
      <c r="D435" s="18" t="s">
        <v>492</v>
      </c>
      <c r="E435" s="18" t="n">
        <v>1</v>
      </c>
      <c r="F435" s="18" t="n">
        <v>0</v>
      </c>
      <c r="G435" s="20" t="n">
        <v>-0.0766</v>
      </c>
      <c r="H435" s="20" t="n">
        <v>0.0064</v>
      </c>
      <c r="I435" s="28" t="n">
        <v>231.3</v>
      </c>
      <c r="J435" s="28" t="n">
        <v>1451.2</v>
      </c>
      <c r="K435" s="28" t="n">
        <v>155.2</v>
      </c>
      <c r="L435" s="29" t="n">
        <v>5.017</v>
      </c>
      <c r="M435" s="19" t="n">
        <v>0.623</v>
      </c>
      <c r="N435" s="28" t="n">
        <v>8.87</v>
      </c>
      <c r="O435" s="18" t="n">
        <v>33</v>
      </c>
      <c r="P435" s="18" t="n">
        <v>-1.75</v>
      </c>
      <c r="Q435" s="18" t="n">
        <v>-0.93</v>
      </c>
    </row>
    <row r="436" customFormat="false" ht="15" hidden="false" customHeight="false" outlineLevel="0" collapsed="false">
      <c r="A436" s="18" t="n">
        <v>109</v>
      </c>
      <c r="B436" s="18" t="s">
        <v>730</v>
      </c>
      <c r="C436" s="18" t="s">
        <v>634</v>
      </c>
      <c r="D436" s="18" t="s">
        <v>494</v>
      </c>
      <c r="E436" s="18" t="n">
        <v>0</v>
      </c>
      <c r="F436" s="18" t="n">
        <v>1</v>
      </c>
      <c r="G436" s="20" t="n">
        <v>0.1141</v>
      </c>
      <c r="H436" s="20" t="n">
        <v>0.0053</v>
      </c>
      <c r="I436" s="28" t="n">
        <v>236.8</v>
      </c>
      <c r="J436" s="28" t="n">
        <v>1336.6</v>
      </c>
      <c r="K436" s="28" t="n">
        <v>125.4</v>
      </c>
      <c r="L436" s="29" t="n">
        <v>1.349</v>
      </c>
      <c r="M436" s="19" t="n">
        <v>0.67</v>
      </c>
      <c r="N436" s="28" t="n">
        <v>9.49</v>
      </c>
      <c r="O436" s="18" t="n">
        <v>29</v>
      </c>
      <c r="P436" s="18" t="n">
        <v>-1.75</v>
      </c>
      <c r="Q436" s="18" t="n">
        <v>-0.93</v>
      </c>
    </row>
    <row r="437" customFormat="false" ht="15" hidden="false" customHeight="false" outlineLevel="0" collapsed="false">
      <c r="A437" s="18" t="n">
        <v>109</v>
      </c>
      <c r="B437" s="18" t="s">
        <v>730</v>
      </c>
      <c r="C437" s="18" t="s">
        <v>634</v>
      </c>
      <c r="D437" s="18" t="s">
        <v>495</v>
      </c>
      <c r="E437" s="18" t="n">
        <v>1</v>
      </c>
      <c r="F437" s="18" t="n">
        <v>1</v>
      </c>
      <c r="G437" s="20" t="n">
        <v>0.0957</v>
      </c>
      <c r="H437" s="20" t="n">
        <v>0.0072</v>
      </c>
      <c r="I437" s="28" t="n">
        <v>219</v>
      </c>
      <c r="J437" s="28" t="n">
        <v>1454.5</v>
      </c>
      <c r="K437" s="28" t="n">
        <v>125.5</v>
      </c>
      <c r="L437" s="18"/>
      <c r="M437" s="19" t="n">
        <v>1.086</v>
      </c>
      <c r="N437" s="28" t="n">
        <v>9.01</v>
      </c>
      <c r="O437" s="18" t="n">
        <v>29</v>
      </c>
      <c r="P437" s="18" t="n">
        <v>-1.75</v>
      </c>
      <c r="Q437" s="18" t="n">
        <v>-0.93</v>
      </c>
    </row>
    <row r="438" customFormat="false" ht="15" hidden="false" customHeight="false" outlineLevel="0" collapsed="false">
      <c r="A438" s="18" t="n">
        <v>110</v>
      </c>
      <c r="B438" s="18" t="s">
        <v>731</v>
      </c>
      <c r="C438" s="18" t="s">
        <v>672</v>
      </c>
      <c r="D438" s="18" t="s">
        <v>491</v>
      </c>
      <c r="E438" s="18" t="n">
        <v>0</v>
      </c>
      <c r="F438" s="18" t="n">
        <v>0</v>
      </c>
      <c r="G438" s="20" t="n">
        <v>-0.0712</v>
      </c>
      <c r="H438" s="20" t="n">
        <v>0.0093</v>
      </c>
      <c r="I438" s="28" t="n">
        <v>220.7</v>
      </c>
      <c r="J438" s="28" t="n">
        <v>1924.6</v>
      </c>
      <c r="K438" s="28" t="n">
        <v>137.7</v>
      </c>
      <c r="L438" s="29" t="n">
        <v>0.967</v>
      </c>
      <c r="M438" s="19" t="n">
        <v>1.329</v>
      </c>
      <c r="N438" s="28" t="n">
        <v>9.29</v>
      </c>
      <c r="O438" s="18" t="n">
        <v>30</v>
      </c>
      <c r="P438" s="18" t="n">
        <v>-2</v>
      </c>
      <c r="Q438" s="18" t="n">
        <v>-0.93</v>
      </c>
    </row>
    <row r="439" customFormat="false" ht="15" hidden="false" customHeight="false" outlineLevel="0" collapsed="false">
      <c r="A439" s="18" t="n">
        <v>110</v>
      </c>
      <c r="B439" s="18" t="s">
        <v>731</v>
      </c>
      <c r="C439" s="18" t="s">
        <v>672</v>
      </c>
      <c r="D439" s="18" t="s">
        <v>492</v>
      </c>
      <c r="E439" s="18" t="n">
        <v>1</v>
      </c>
      <c r="F439" s="18" t="n">
        <v>0</v>
      </c>
      <c r="G439" s="20" t="n">
        <v>-0.0694</v>
      </c>
      <c r="H439" s="20" t="n">
        <v>0.0058</v>
      </c>
      <c r="I439" s="28" t="n">
        <v>214.4</v>
      </c>
      <c r="J439" s="28" t="n">
        <v>2049.2</v>
      </c>
      <c r="K439" s="28" t="n">
        <v>137.8</v>
      </c>
      <c r="L439" s="29" t="n">
        <v>1.158</v>
      </c>
      <c r="M439" s="19" t="n">
        <v>1.152</v>
      </c>
      <c r="N439" s="28" t="n">
        <v>10.07</v>
      </c>
      <c r="O439" s="18" t="n">
        <v>30</v>
      </c>
      <c r="P439" s="18" t="n">
        <v>-2</v>
      </c>
      <c r="Q439" s="18" t="n">
        <v>-0.93</v>
      </c>
    </row>
    <row r="440" customFormat="false" ht="15" hidden="false" customHeight="false" outlineLevel="0" collapsed="false">
      <c r="A440" s="18" t="n">
        <v>110</v>
      </c>
      <c r="B440" s="18" t="s">
        <v>732</v>
      </c>
      <c r="C440" s="18" t="s">
        <v>672</v>
      </c>
      <c r="D440" s="18" t="s">
        <v>494</v>
      </c>
      <c r="E440" s="18" t="n">
        <v>0</v>
      </c>
      <c r="F440" s="18" t="n">
        <v>1</v>
      </c>
      <c r="G440" s="20" t="n">
        <v>0.1626</v>
      </c>
      <c r="H440" s="20" t="n">
        <v>0.0079</v>
      </c>
      <c r="I440" s="28" t="n">
        <v>230.1</v>
      </c>
      <c r="J440" s="28" t="n">
        <v>1923.2</v>
      </c>
      <c r="K440" s="28" t="n">
        <v>184.8</v>
      </c>
      <c r="L440" s="18"/>
      <c r="M440" s="19" t="n">
        <v>1.271</v>
      </c>
      <c r="N440" s="28" t="n">
        <v>12.36</v>
      </c>
      <c r="O440" s="18" t="n">
        <v>33</v>
      </c>
      <c r="P440" s="18" t="n">
        <v>-2</v>
      </c>
      <c r="Q440" s="18" t="n">
        <v>-0.93</v>
      </c>
    </row>
    <row r="441" customFormat="false" ht="15" hidden="false" customHeight="false" outlineLevel="0" collapsed="false">
      <c r="A441" s="18" t="n">
        <v>110</v>
      </c>
      <c r="B441" s="18" t="s">
        <v>732</v>
      </c>
      <c r="C441" s="18" t="s">
        <v>672</v>
      </c>
      <c r="D441" s="18" t="s">
        <v>495</v>
      </c>
      <c r="E441" s="18" t="n">
        <v>1</v>
      </c>
      <c r="F441" s="18" t="n">
        <v>1</v>
      </c>
      <c r="G441" s="20" t="n">
        <v>0.147</v>
      </c>
      <c r="H441" s="20" t="n">
        <v>0.0128</v>
      </c>
      <c r="I441" s="28" t="n">
        <v>210.6</v>
      </c>
      <c r="J441" s="28" t="n">
        <v>2049.9</v>
      </c>
      <c r="K441" s="28" t="n">
        <v>164.1</v>
      </c>
      <c r="L441" s="18"/>
      <c r="M441" s="19" t="n">
        <v>0.341</v>
      </c>
      <c r="N441" s="28" t="n">
        <v>11.86</v>
      </c>
      <c r="O441" s="18" t="n">
        <v>33</v>
      </c>
      <c r="P441" s="18" t="n">
        <v>-2</v>
      </c>
      <c r="Q441" s="18" t="n">
        <v>-0.93</v>
      </c>
    </row>
    <row r="442" customFormat="false" ht="15" hidden="false" customHeight="false" outlineLevel="0" collapsed="false">
      <c r="A442" s="18" t="n">
        <v>111</v>
      </c>
      <c r="B442" s="18" t="s">
        <v>733</v>
      </c>
      <c r="C442" s="18" t="s">
        <v>500</v>
      </c>
      <c r="D442" s="18" t="s">
        <v>491</v>
      </c>
      <c r="E442" s="18" t="n">
        <v>0</v>
      </c>
      <c r="F442" s="18" t="n">
        <v>0</v>
      </c>
      <c r="G442" s="20" t="n">
        <v>-0.0461</v>
      </c>
      <c r="H442" s="20" t="n">
        <v>0.0069</v>
      </c>
      <c r="I442" s="28" t="n">
        <v>182.2</v>
      </c>
      <c r="J442" s="28" t="n">
        <v>527.9</v>
      </c>
      <c r="K442" s="28" t="n">
        <v>126.1</v>
      </c>
      <c r="L442" s="18"/>
      <c r="M442" s="19" t="n">
        <v>0.983</v>
      </c>
      <c r="N442" s="28" t="n">
        <v>7.7</v>
      </c>
      <c r="O442" s="18" t="n">
        <v>33</v>
      </c>
      <c r="P442" s="18" t="n">
        <v>-1.25</v>
      </c>
      <c r="Q442" s="18" t="n">
        <v>-0.93</v>
      </c>
    </row>
    <row r="443" customFormat="false" ht="15" hidden="false" customHeight="false" outlineLevel="0" collapsed="false">
      <c r="A443" s="18" t="n">
        <v>111</v>
      </c>
      <c r="B443" s="18" t="s">
        <v>733</v>
      </c>
      <c r="C443" s="18" t="s">
        <v>500</v>
      </c>
      <c r="D443" s="18" t="s">
        <v>492</v>
      </c>
      <c r="E443" s="18" t="n">
        <v>1</v>
      </c>
      <c r="F443" s="18" t="n">
        <v>0</v>
      </c>
      <c r="G443" s="20" t="n">
        <v>-0.0471</v>
      </c>
      <c r="H443" s="20" t="n">
        <v>0.0069</v>
      </c>
      <c r="I443" s="28" t="n">
        <v>189.3</v>
      </c>
      <c r="J443" s="28" t="n">
        <v>633.2</v>
      </c>
      <c r="K443" s="28" t="n">
        <v>129.4</v>
      </c>
      <c r="L443" s="18"/>
      <c r="M443" s="19" t="n">
        <v>0.704</v>
      </c>
      <c r="N443" s="28" t="n">
        <v>8.47</v>
      </c>
      <c r="O443" s="18" t="n">
        <v>33</v>
      </c>
      <c r="P443" s="18" t="n">
        <v>-1.25</v>
      </c>
      <c r="Q443" s="18" t="n">
        <v>-0.93</v>
      </c>
    </row>
    <row r="444" customFormat="false" ht="15" hidden="false" customHeight="false" outlineLevel="0" collapsed="false">
      <c r="A444" s="18" t="n">
        <v>111</v>
      </c>
      <c r="B444" s="18" t="s">
        <v>734</v>
      </c>
      <c r="C444" s="18" t="s">
        <v>500</v>
      </c>
      <c r="D444" s="18" t="s">
        <v>494</v>
      </c>
      <c r="E444" s="18" t="n">
        <v>0</v>
      </c>
      <c r="F444" s="18" t="n">
        <v>1</v>
      </c>
      <c r="G444" s="20" t="n">
        <v>0.0566</v>
      </c>
      <c r="H444" s="20" t="n">
        <v>0.0065</v>
      </c>
      <c r="I444" s="28" t="n">
        <v>179.2</v>
      </c>
      <c r="J444" s="28" t="n">
        <v>526</v>
      </c>
      <c r="K444" s="28" t="n">
        <v>123.4</v>
      </c>
      <c r="L444" s="29" t="n">
        <v>2.298</v>
      </c>
      <c r="M444" s="19" t="n">
        <v>0.892</v>
      </c>
      <c r="N444" s="28" t="n">
        <v>7.59</v>
      </c>
      <c r="O444" s="18" t="n">
        <v>33</v>
      </c>
      <c r="P444" s="18" t="n">
        <v>-1.25</v>
      </c>
      <c r="Q444" s="18" t="n">
        <v>-0.93</v>
      </c>
    </row>
    <row r="445" customFormat="false" ht="15" hidden="false" customHeight="false" outlineLevel="0" collapsed="false">
      <c r="A445" s="18" t="n">
        <v>111</v>
      </c>
      <c r="B445" s="18" t="s">
        <v>734</v>
      </c>
      <c r="C445" s="18" t="s">
        <v>500</v>
      </c>
      <c r="D445" s="18" t="s">
        <v>495</v>
      </c>
      <c r="E445" s="18" t="n">
        <v>1</v>
      </c>
      <c r="F445" s="18" t="n">
        <v>1</v>
      </c>
      <c r="G445" s="20" t="n">
        <v>0.0384</v>
      </c>
      <c r="H445" s="20" t="n">
        <v>0.0066</v>
      </c>
      <c r="I445" s="28" t="n">
        <v>198</v>
      </c>
      <c r="J445" s="28" t="n">
        <v>632.1</v>
      </c>
      <c r="K445" s="28" t="n">
        <v>139.2</v>
      </c>
      <c r="L445" s="29" t="n">
        <v>2.939</v>
      </c>
      <c r="M445" s="19" t="n">
        <v>0.689</v>
      </c>
      <c r="N445" s="28" t="n">
        <v>7.95</v>
      </c>
      <c r="O445" s="18" t="n">
        <v>33</v>
      </c>
      <c r="P445" s="18" t="n">
        <v>-1.25</v>
      </c>
      <c r="Q445" s="18" t="n">
        <v>-0.93</v>
      </c>
    </row>
    <row r="446" customFormat="false" ht="15" hidden="false" customHeight="false" outlineLevel="0" collapsed="false">
      <c r="A446" s="18" t="n">
        <v>112</v>
      </c>
      <c r="B446" s="18" t="s">
        <v>735</v>
      </c>
      <c r="C446" s="18" t="s">
        <v>577</v>
      </c>
      <c r="D446" s="18" t="s">
        <v>491</v>
      </c>
      <c r="E446" s="18" t="n">
        <v>0</v>
      </c>
      <c r="F446" s="18" t="n">
        <v>0</v>
      </c>
      <c r="G446" s="20" t="n">
        <v>-0.0625</v>
      </c>
      <c r="H446" s="20" t="n">
        <v>0.0082</v>
      </c>
      <c r="I446" s="28" t="n">
        <v>199</v>
      </c>
      <c r="J446" s="28" t="n">
        <v>874.7</v>
      </c>
      <c r="K446" s="28" t="n">
        <v>145.6</v>
      </c>
      <c r="L446" s="29" t="n">
        <v>4.2</v>
      </c>
      <c r="M446" s="19" t="n">
        <v>0.622</v>
      </c>
      <c r="N446" s="28" t="n">
        <v>9.67</v>
      </c>
      <c r="O446" s="18" t="n">
        <v>32</v>
      </c>
      <c r="P446" s="18" t="n">
        <v>-1.5</v>
      </c>
      <c r="Q446" s="18" t="n">
        <v>-0.93</v>
      </c>
    </row>
    <row r="447" customFormat="false" ht="15" hidden="false" customHeight="false" outlineLevel="0" collapsed="false">
      <c r="A447" s="18" t="n">
        <v>112</v>
      </c>
      <c r="B447" s="18" t="s">
        <v>735</v>
      </c>
      <c r="C447" s="18" t="s">
        <v>577</v>
      </c>
      <c r="D447" s="18" t="s">
        <v>492</v>
      </c>
      <c r="E447" s="18" t="n">
        <v>1</v>
      </c>
      <c r="F447" s="18" t="n">
        <v>0</v>
      </c>
      <c r="G447" s="20" t="n">
        <v>-0.0564</v>
      </c>
      <c r="H447" s="20" t="n">
        <v>0.0087</v>
      </c>
      <c r="I447" s="28" t="n">
        <v>205.1</v>
      </c>
      <c r="J447" s="28" t="n">
        <v>987.2</v>
      </c>
      <c r="K447" s="28" t="n">
        <v>139.5</v>
      </c>
      <c r="L447" s="29" t="n">
        <v>3.268</v>
      </c>
      <c r="M447" s="19" t="n">
        <v>0.626</v>
      </c>
      <c r="N447" s="28" t="n">
        <v>9.77</v>
      </c>
      <c r="O447" s="18" t="n">
        <v>32</v>
      </c>
      <c r="P447" s="18" t="n">
        <v>-1.5</v>
      </c>
      <c r="Q447" s="18" t="n">
        <v>-0.93</v>
      </c>
    </row>
    <row r="448" customFormat="false" ht="15" hidden="false" customHeight="false" outlineLevel="0" collapsed="false">
      <c r="A448" s="18" t="n">
        <v>112</v>
      </c>
      <c r="B448" s="18" t="s">
        <v>736</v>
      </c>
      <c r="C448" s="18" t="s">
        <v>577</v>
      </c>
      <c r="D448" s="18" t="s">
        <v>494</v>
      </c>
      <c r="E448" s="18" t="n">
        <v>0</v>
      </c>
      <c r="F448" s="18" t="n">
        <v>1</v>
      </c>
      <c r="G448" s="20" t="n">
        <v>0.0711</v>
      </c>
      <c r="H448" s="20" t="n">
        <v>0.0071</v>
      </c>
      <c r="I448" s="28" t="n">
        <v>216.9</v>
      </c>
      <c r="J448" s="28" t="n">
        <v>871.2</v>
      </c>
      <c r="K448" s="28" t="n">
        <v>127.8</v>
      </c>
      <c r="L448" s="29" t="n">
        <v>1.484</v>
      </c>
      <c r="M448" s="19" t="n">
        <v>0.959</v>
      </c>
      <c r="N448" s="28" t="n">
        <v>7.27</v>
      </c>
      <c r="O448" s="18" t="n">
        <v>32</v>
      </c>
      <c r="P448" s="18" t="n">
        <v>-1.5</v>
      </c>
      <c r="Q448" s="18" t="n">
        <v>-0.93</v>
      </c>
    </row>
    <row r="449" customFormat="false" ht="15" hidden="false" customHeight="false" outlineLevel="0" collapsed="false">
      <c r="A449" s="18" t="n">
        <v>112</v>
      </c>
      <c r="B449" s="18" t="s">
        <v>736</v>
      </c>
      <c r="C449" s="18" t="s">
        <v>577</v>
      </c>
      <c r="D449" s="18" t="s">
        <v>495</v>
      </c>
      <c r="E449" s="18" t="n">
        <v>1</v>
      </c>
      <c r="F449" s="18" t="n">
        <v>1</v>
      </c>
      <c r="G449" s="20" t="n">
        <v>0.0722</v>
      </c>
      <c r="H449" s="20" t="n">
        <v>0.0056</v>
      </c>
      <c r="I449" s="28" t="n">
        <v>205.1</v>
      </c>
      <c r="J449" s="28" t="n">
        <v>983.4</v>
      </c>
      <c r="K449" s="28" t="n">
        <v>131.6</v>
      </c>
      <c r="L449" s="29" t="n">
        <v>1.007</v>
      </c>
      <c r="M449" s="19" t="n">
        <v>0.943</v>
      </c>
      <c r="N449" s="28" t="n">
        <v>8.69</v>
      </c>
      <c r="O449" s="18" t="n">
        <v>32</v>
      </c>
      <c r="P449" s="18" t="n">
        <v>-1.5</v>
      </c>
      <c r="Q449" s="18" t="n">
        <v>-0.93</v>
      </c>
    </row>
    <row r="450" customFormat="false" ht="15" hidden="false" customHeight="false" outlineLevel="0" collapsed="false">
      <c r="A450" s="18" t="n">
        <v>113</v>
      </c>
      <c r="B450" s="18" t="s">
        <v>737</v>
      </c>
      <c r="C450" s="18" t="s">
        <v>634</v>
      </c>
      <c r="D450" s="18" t="s">
        <v>491</v>
      </c>
      <c r="E450" s="18" t="n">
        <v>0</v>
      </c>
      <c r="F450" s="18" t="n">
        <v>0</v>
      </c>
      <c r="G450" s="20" t="n">
        <v>-0.0632</v>
      </c>
      <c r="H450" s="20" t="n">
        <v>0.0064</v>
      </c>
      <c r="I450" s="28" t="n">
        <v>240.1</v>
      </c>
      <c r="J450" s="28" t="n">
        <v>1338.9</v>
      </c>
      <c r="K450" s="28" t="n">
        <v>134.5</v>
      </c>
      <c r="L450" s="29" t="n">
        <v>2.346</v>
      </c>
      <c r="M450" s="19" t="n">
        <v>0.992</v>
      </c>
      <c r="N450" s="28" t="n">
        <v>7.64</v>
      </c>
      <c r="O450" s="18" t="n">
        <v>29</v>
      </c>
      <c r="P450" s="18" t="n">
        <v>-1.75</v>
      </c>
      <c r="Q450" s="18" t="n">
        <v>-0.93</v>
      </c>
    </row>
    <row r="451" customFormat="false" ht="15" hidden="false" customHeight="false" outlineLevel="0" collapsed="false">
      <c r="A451" s="18" t="n">
        <v>113</v>
      </c>
      <c r="B451" s="18" t="s">
        <v>737</v>
      </c>
      <c r="C451" s="18" t="s">
        <v>634</v>
      </c>
      <c r="D451" s="18" t="s">
        <v>492</v>
      </c>
      <c r="E451" s="18" t="n">
        <v>1</v>
      </c>
      <c r="F451" s="18" t="n">
        <v>0</v>
      </c>
      <c r="G451" s="20" t="n">
        <v>-0.0792</v>
      </c>
      <c r="H451" s="20" t="n">
        <v>0.0074</v>
      </c>
      <c r="I451" s="28" t="n">
        <v>205.6</v>
      </c>
      <c r="J451" s="28" t="n">
        <v>1457.9</v>
      </c>
      <c r="K451" s="28" t="n">
        <v>124.5</v>
      </c>
      <c r="L451" s="29" t="n">
        <v>4.739</v>
      </c>
      <c r="M451" s="19" t="n">
        <v>1.502</v>
      </c>
      <c r="N451" s="28" t="n">
        <v>7.95</v>
      </c>
      <c r="O451" s="18" t="n">
        <v>29</v>
      </c>
      <c r="P451" s="18" t="n">
        <v>-1.75</v>
      </c>
      <c r="Q451" s="18" t="n">
        <v>-0.93</v>
      </c>
    </row>
    <row r="452" customFormat="false" ht="15" hidden="false" customHeight="false" outlineLevel="0" collapsed="false">
      <c r="A452" s="18" t="n">
        <v>113</v>
      </c>
      <c r="B452" s="18" t="s">
        <v>738</v>
      </c>
      <c r="C452" s="18" t="s">
        <v>634</v>
      </c>
      <c r="D452" s="18" t="s">
        <v>494</v>
      </c>
      <c r="E452" s="18" t="n">
        <v>0</v>
      </c>
      <c r="F452" s="18" t="n">
        <v>1</v>
      </c>
      <c r="G452" s="20" t="n">
        <v>0.1236</v>
      </c>
      <c r="H452" s="20" t="n">
        <v>0.0078</v>
      </c>
      <c r="I452" s="28" t="n">
        <v>205.6</v>
      </c>
      <c r="J452" s="28" t="n">
        <v>1339.5</v>
      </c>
      <c r="K452" s="28" t="n">
        <v>132.5</v>
      </c>
      <c r="L452" s="29" t="n">
        <v>2.773</v>
      </c>
      <c r="M452" s="19" t="n">
        <v>1.463</v>
      </c>
      <c r="N452" s="28" t="n">
        <v>9.09</v>
      </c>
      <c r="O452" s="18" t="n">
        <v>30</v>
      </c>
      <c r="P452" s="18" t="n">
        <v>-1.75</v>
      </c>
      <c r="Q452" s="18" t="n">
        <v>-0.93</v>
      </c>
    </row>
    <row r="453" customFormat="false" ht="15" hidden="false" customHeight="false" outlineLevel="0" collapsed="false">
      <c r="A453" s="18" t="n">
        <v>113</v>
      </c>
      <c r="B453" s="18" t="s">
        <v>738</v>
      </c>
      <c r="C453" s="18" t="s">
        <v>634</v>
      </c>
      <c r="D453" s="18" t="s">
        <v>495</v>
      </c>
      <c r="E453" s="18" t="n">
        <v>1</v>
      </c>
      <c r="F453" s="18" t="n">
        <v>1</v>
      </c>
      <c r="G453" s="20" t="n">
        <v>0.1007</v>
      </c>
      <c r="H453" s="20" t="n">
        <v>0.0074</v>
      </c>
      <c r="I453" s="28" t="n">
        <v>234.1</v>
      </c>
      <c r="J453" s="28" t="n">
        <v>1453.5</v>
      </c>
      <c r="K453" s="28" t="n">
        <v>135.9</v>
      </c>
      <c r="L453" s="29" t="n">
        <v>2.493</v>
      </c>
      <c r="M453" s="19" t="n">
        <v>1.326</v>
      </c>
      <c r="N453" s="28" t="n">
        <v>9.81</v>
      </c>
      <c r="O453" s="18" t="n">
        <v>30</v>
      </c>
      <c r="P453" s="18" t="n">
        <v>-1.75</v>
      </c>
      <c r="Q453" s="18" t="n">
        <v>-0.93</v>
      </c>
    </row>
    <row r="454" customFormat="false" ht="15" hidden="false" customHeight="false" outlineLevel="0" collapsed="false">
      <c r="A454" s="18" t="n">
        <v>114</v>
      </c>
      <c r="B454" s="18" t="s">
        <v>739</v>
      </c>
      <c r="C454" s="18" t="s">
        <v>672</v>
      </c>
      <c r="D454" s="18" t="s">
        <v>491</v>
      </c>
      <c r="E454" s="18" t="n">
        <v>0</v>
      </c>
      <c r="F454" s="18" t="n">
        <v>0</v>
      </c>
      <c r="G454" s="20" t="n">
        <v>-0.0909</v>
      </c>
      <c r="H454" s="20" t="n">
        <v>0.0069</v>
      </c>
      <c r="I454" s="28" t="n">
        <v>222.9</v>
      </c>
      <c r="J454" s="28" t="n">
        <v>1926.7</v>
      </c>
      <c r="K454" s="28" t="n">
        <v>145.9</v>
      </c>
      <c r="L454" s="29" t="n">
        <v>1.159</v>
      </c>
      <c r="M454" s="19" t="n">
        <v>1.022</v>
      </c>
      <c r="N454" s="28" t="n">
        <v>11.71</v>
      </c>
      <c r="O454" s="18" t="n">
        <v>33</v>
      </c>
      <c r="P454" s="18" t="n">
        <v>-2</v>
      </c>
      <c r="Q454" s="18" t="n">
        <v>-0.93</v>
      </c>
    </row>
    <row r="455" customFormat="false" ht="15" hidden="false" customHeight="false" outlineLevel="0" collapsed="false">
      <c r="A455" s="18" t="n">
        <v>114</v>
      </c>
      <c r="B455" s="18" t="s">
        <v>739</v>
      </c>
      <c r="C455" s="18" t="s">
        <v>672</v>
      </c>
      <c r="D455" s="18" t="s">
        <v>492</v>
      </c>
      <c r="E455" s="18" t="n">
        <v>1</v>
      </c>
      <c r="F455" s="18" t="n">
        <v>0</v>
      </c>
      <c r="G455" s="20" t="n">
        <v>-0.0756</v>
      </c>
      <c r="H455" s="20" t="n">
        <v>0.008</v>
      </c>
      <c r="I455" s="28" t="n">
        <v>242.5</v>
      </c>
      <c r="J455" s="28" t="n">
        <v>2045.3</v>
      </c>
      <c r="K455" s="28" t="n">
        <v>150.7</v>
      </c>
      <c r="L455" s="29" t="n">
        <v>1.936</v>
      </c>
      <c r="M455" s="19" t="n">
        <v>0.884</v>
      </c>
      <c r="N455" s="28" t="n">
        <v>9.5</v>
      </c>
      <c r="O455" s="18" t="n">
        <v>33</v>
      </c>
      <c r="P455" s="18" t="n">
        <v>-2</v>
      </c>
      <c r="Q455" s="18" t="n">
        <v>-0.93</v>
      </c>
    </row>
    <row r="456" customFormat="false" ht="15" hidden="false" customHeight="false" outlineLevel="0" collapsed="false">
      <c r="A456" s="18" t="n">
        <v>114</v>
      </c>
      <c r="B456" s="18" t="s">
        <v>740</v>
      </c>
      <c r="C456" s="18" t="s">
        <v>672</v>
      </c>
      <c r="D456" s="18" t="s">
        <v>494</v>
      </c>
      <c r="E456" s="18" t="n">
        <v>0</v>
      </c>
      <c r="F456" s="18" t="n">
        <v>1</v>
      </c>
      <c r="G456" s="20" t="n">
        <v>0.1497</v>
      </c>
      <c r="H456" s="20" t="n">
        <v>0.0069</v>
      </c>
      <c r="I456" s="28" t="n">
        <v>225.8</v>
      </c>
      <c r="J456" s="28" t="n">
        <v>1919.8</v>
      </c>
      <c r="K456" s="28" t="n">
        <v>168.2</v>
      </c>
      <c r="L456" s="29" t="n">
        <v>3.68</v>
      </c>
      <c r="M456" s="19" t="n">
        <v>0.406</v>
      </c>
      <c r="N456" s="28" t="n">
        <v>10.4</v>
      </c>
      <c r="O456" s="18" t="n">
        <v>33</v>
      </c>
      <c r="P456" s="18" t="n">
        <v>-2</v>
      </c>
      <c r="Q456" s="18" t="n">
        <v>-0.93</v>
      </c>
    </row>
    <row r="457" customFormat="false" ht="15" hidden="false" customHeight="false" outlineLevel="0" collapsed="false">
      <c r="A457" s="18" t="n">
        <v>114</v>
      </c>
      <c r="B457" s="18" t="s">
        <v>740</v>
      </c>
      <c r="C457" s="18" t="s">
        <v>672</v>
      </c>
      <c r="D457" s="18" t="s">
        <v>495</v>
      </c>
      <c r="E457" s="18" t="n">
        <v>1</v>
      </c>
      <c r="F457" s="18" t="n">
        <v>1</v>
      </c>
      <c r="G457" s="20" t="n">
        <v>0.1368</v>
      </c>
      <c r="H457" s="20" t="n">
        <v>0.0062</v>
      </c>
      <c r="I457" s="28" t="n">
        <v>241.7</v>
      </c>
      <c r="J457" s="28" t="n">
        <v>2044.5</v>
      </c>
      <c r="K457" s="28" t="n">
        <v>155.8</v>
      </c>
      <c r="L457" s="29" t="n">
        <v>3.545</v>
      </c>
      <c r="M457" s="19" t="n">
        <v>0.798</v>
      </c>
      <c r="N457" s="28" t="n">
        <v>10.22</v>
      </c>
      <c r="O457" s="18" t="n">
        <v>33</v>
      </c>
      <c r="P457" s="18" t="n">
        <v>-2</v>
      </c>
      <c r="Q457" s="18" t="n">
        <v>-0.93</v>
      </c>
    </row>
    <row r="458" customFormat="false" ht="15" hidden="false" customHeight="false" outlineLevel="0" collapsed="false">
      <c r="A458" s="18" t="n">
        <v>115</v>
      </c>
      <c r="B458" s="18" t="s">
        <v>741</v>
      </c>
      <c r="C458" s="18" t="s">
        <v>500</v>
      </c>
      <c r="D458" s="18" t="s">
        <v>491</v>
      </c>
      <c r="E458" s="18" t="n">
        <v>0</v>
      </c>
      <c r="F458" s="18" t="n">
        <v>0</v>
      </c>
      <c r="G458" s="20" t="n">
        <v>-0.0584</v>
      </c>
      <c r="H458" s="20" t="n">
        <v>0.0074</v>
      </c>
      <c r="I458" s="28" t="n">
        <v>197.1</v>
      </c>
      <c r="J458" s="28" t="n">
        <v>523.9</v>
      </c>
      <c r="K458" s="28" t="n">
        <v>144.5</v>
      </c>
      <c r="L458" s="29" t="n">
        <v>1.729</v>
      </c>
      <c r="M458" s="19" t="n">
        <v>1.088</v>
      </c>
      <c r="N458" s="28" t="n">
        <v>7.63</v>
      </c>
      <c r="O458" s="18" t="n">
        <v>33</v>
      </c>
      <c r="P458" s="18" t="n">
        <v>-1.25</v>
      </c>
      <c r="Q458" s="18" t="n">
        <v>-0.93</v>
      </c>
    </row>
    <row r="459" customFormat="false" ht="15" hidden="false" customHeight="false" outlineLevel="0" collapsed="false">
      <c r="A459" s="18" t="n">
        <v>115</v>
      </c>
      <c r="B459" s="18" t="s">
        <v>741</v>
      </c>
      <c r="C459" s="18" t="s">
        <v>500</v>
      </c>
      <c r="D459" s="18" t="s">
        <v>492</v>
      </c>
      <c r="E459" s="18" t="n">
        <v>1</v>
      </c>
      <c r="F459" s="18" t="n">
        <v>0</v>
      </c>
      <c r="G459" s="20" t="n">
        <v>-0.0514</v>
      </c>
      <c r="H459" s="20" t="n">
        <v>0.0067</v>
      </c>
      <c r="I459" s="28" t="n">
        <v>177.9</v>
      </c>
      <c r="J459" s="28" t="n">
        <v>632.3</v>
      </c>
      <c r="K459" s="28" t="n">
        <v>130.7</v>
      </c>
      <c r="L459" s="18"/>
      <c r="M459" s="19" t="n">
        <v>0.871</v>
      </c>
      <c r="N459" s="28" t="n">
        <v>6.54</v>
      </c>
      <c r="O459" s="18" t="n">
        <v>33</v>
      </c>
      <c r="P459" s="18" t="n">
        <v>-1.25</v>
      </c>
      <c r="Q459" s="18" t="n">
        <v>-0.93</v>
      </c>
    </row>
    <row r="460" customFormat="false" ht="15" hidden="false" customHeight="false" outlineLevel="0" collapsed="false">
      <c r="A460" s="18" t="n">
        <v>115</v>
      </c>
      <c r="B460" s="18" t="s">
        <v>742</v>
      </c>
      <c r="C460" s="18" t="s">
        <v>500</v>
      </c>
      <c r="D460" s="18" t="s">
        <v>494</v>
      </c>
      <c r="E460" s="18" t="n">
        <v>0</v>
      </c>
      <c r="F460" s="18" t="n">
        <v>1</v>
      </c>
      <c r="G460" s="20" t="n">
        <v>0.0434</v>
      </c>
      <c r="H460" s="20" t="n">
        <v>0.0123</v>
      </c>
      <c r="I460" s="28" t="n">
        <v>163.9</v>
      </c>
      <c r="J460" s="28" t="n">
        <v>528.6</v>
      </c>
      <c r="K460" s="28" t="n">
        <v>126.7</v>
      </c>
      <c r="L460" s="18"/>
      <c r="M460" s="19" t="n">
        <v>0.689</v>
      </c>
      <c r="N460" s="28" t="n">
        <v>8.09</v>
      </c>
      <c r="O460" s="18" t="n">
        <v>31</v>
      </c>
      <c r="P460" s="18" t="n">
        <v>-1.25</v>
      </c>
      <c r="Q460" s="18" t="n">
        <v>-0.93</v>
      </c>
    </row>
    <row r="461" customFormat="false" ht="15" hidden="false" customHeight="false" outlineLevel="0" collapsed="false">
      <c r="A461" s="18" t="n">
        <v>115</v>
      </c>
      <c r="B461" s="18" t="s">
        <v>742</v>
      </c>
      <c r="C461" s="18" t="s">
        <v>500</v>
      </c>
      <c r="D461" s="18" t="s">
        <v>495</v>
      </c>
      <c r="E461" s="18" t="n">
        <v>1</v>
      </c>
      <c r="F461" s="18" t="n">
        <v>1</v>
      </c>
      <c r="G461" s="20" t="n">
        <v>0.0285</v>
      </c>
      <c r="H461" s="20" t="n">
        <v>0.01</v>
      </c>
      <c r="I461" s="28" t="n">
        <v>197.7</v>
      </c>
      <c r="J461" s="28" t="n">
        <v>633.8</v>
      </c>
      <c r="K461" s="28" t="n">
        <v>128.8</v>
      </c>
      <c r="L461" s="29" t="n">
        <v>1.93</v>
      </c>
      <c r="M461" s="19" t="n">
        <v>0.583</v>
      </c>
      <c r="N461" s="28" t="n">
        <v>8.81</v>
      </c>
      <c r="O461" s="18" t="n">
        <v>31</v>
      </c>
      <c r="P461" s="18" t="n">
        <v>-1.25</v>
      </c>
      <c r="Q461" s="18" t="n">
        <v>-0.93</v>
      </c>
    </row>
    <row r="462" customFormat="false" ht="15" hidden="false" customHeight="false" outlineLevel="0" collapsed="false">
      <c r="A462" s="18" t="n">
        <v>116</v>
      </c>
      <c r="B462" s="18" t="s">
        <v>743</v>
      </c>
      <c r="C462" s="18" t="s">
        <v>577</v>
      </c>
      <c r="D462" s="18" t="s">
        <v>491</v>
      </c>
      <c r="E462" s="18" t="n">
        <v>0</v>
      </c>
      <c r="F462" s="18" t="n">
        <v>0</v>
      </c>
      <c r="G462" s="20" t="n">
        <v>-0.0668</v>
      </c>
      <c r="H462" s="20" t="n">
        <v>0.0061</v>
      </c>
      <c r="I462" s="28" t="n">
        <v>204.6</v>
      </c>
      <c r="J462" s="28" t="n">
        <v>876.3</v>
      </c>
      <c r="K462" s="28" t="n">
        <v>145.7</v>
      </c>
      <c r="L462" s="29" t="n">
        <v>3.622</v>
      </c>
      <c r="M462" s="19" t="n">
        <v>0.918</v>
      </c>
      <c r="N462" s="28" t="n">
        <v>6.55</v>
      </c>
      <c r="O462" s="18" t="n">
        <v>33</v>
      </c>
      <c r="P462" s="18" t="n">
        <v>-1.5</v>
      </c>
      <c r="Q462" s="18" t="n">
        <v>-0.93</v>
      </c>
    </row>
    <row r="463" customFormat="false" ht="15" hidden="false" customHeight="false" outlineLevel="0" collapsed="false">
      <c r="A463" s="18" t="n">
        <v>116</v>
      </c>
      <c r="B463" s="18" t="s">
        <v>743</v>
      </c>
      <c r="C463" s="18" t="s">
        <v>577</v>
      </c>
      <c r="D463" s="18" t="s">
        <v>492</v>
      </c>
      <c r="E463" s="18" t="n">
        <v>1</v>
      </c>
      <c r="F463" s="18" t="n">
        <v>0</v>
      </c>
      <c r="G463" s="20" t="n">
        <v>-0.0519</v>
      </c>
      <c r="H463" s="20" t="n">
        <v>0.0058</v>
      </c>
      <c r="I463" s="28" t="n">
        <v>191.2</v>
      </c>
      <c r="J463" s="28" t="n">
        <v>988.5</v>
      </c>
      <c r="K463" s="28" t="n">
        <v>138.2</v>
      </c>
      <c r="L463" s="29" t="n">
        <v>3.053</v>
      </c>
      <c r="M463" s="19" t="n">
        <v>0.473</v>
      </c>
      <c r="N463" s="28" t="n">
        <v>6.6</v>
      </c>
      <c r="O463" s="18" t="n">
        <v>33</v>
      </c>
      <c r="P463" s="18" t="n">
        <v>-1.5</v>
      </c>
      <c r="Q463" s="18" t="n">
        <v>-0.93</v>
      </c>
    </row>
    <row r="464" customFormat="false" ht="15" hidden="false" customHeight="false" outlineLevel="0" collapsed="false">
      <c r="A464" s="18" t="n">
        <v>116</v>
      </c>
      <c r="B464" s="18" t="s">
        <v>744</v>
      </c>
      <c r="C464" s="18" t="s">
        <v>577</v>
      </c>
      <c r="D464" s="18" t="s">
        <v>494</v>
      </c>
      <c r="E464" s="18" t="n">
        <v>0</v>
      </c>
      <c r="F464" s="18" t="n">
        <v>1</v>
      </c>
      <c r="G464" s="20" t="n">
        <v>0.0757</v>
      </c>
      <c r="H464" s="20" t="n">
        <v>0.006</v>
      </c>
      <c r="I464" s="28" t="n">
        <v>215</v>
      </c>
      <c r="J464" s="28" t="n">
        <v>882.2</v>
      </c>
      <c r="K464" s="28" t="n">
        <v>159.5</v>
      </c>
      <c r="L464" s="29" t="n">
        <v>1.748</v>
      </c>
      <c r="M464" s="19" t="n">
        <v>1.218</v>
      </c>
      <c r="N464" s="28" t="n">
        <v>7.91</v>
      </c>
      <c r="O464" s="18" t="n">
        <v>32</v>
      </c>
      <c r="P464" s="18" t="n">
        <v>-1.5</v>
      </c>
      <c r="Q464" s="18" t="n">
        <v>-0.93</v>
      </c>
    </row>
    <row r="465" customFormat="false" ht="15" hidden="false" customHeight="false" outlineLevel="0" collapsed="false">
      <c r="A465" s="18" t="n">
        <v>116</v>
      </c>
      <c r="B465" s="18" t="s">
        <v>744</v>
      </c>
      <c r="C465" s="18" t="s">
        <v>577</v>
      </c>
      <c r="D465" s="18" t="s">
        <v>495</v>
      </c>
      <c r="E465" s="18" t="n">
        <v>1</v>
      </c>
      <c r="F465" s="18" t="n">
        <v>1</v>
      </c>
      <c r="G465" s="20" t="n">
        <v>0.0633</v>
      </c>
      <c r="H465" s="20" t="n">
        <v>0.0054</v>
      </c>
      <c r="I465" s="28" t="n">
        <v>207.9</v>
      </c>
      <c r="J465" s="28" t="n">
        <v>993.3</v>
      </c>
      <c r="K465" s="28" t="n">
        <v>151.7</v>
      </c>
      <c r="L465" s="29" t="n">
        <v>1.454</v>
      </c>
      <c r="M465" s="19" t="n">
        <v>1.13</v>
      </c>
      <c r="N465" s="28" t="n">
        <v>7.87</v>
      </c>
      <c r="O465" s="18" t="n">
        <v>32</v>
      </c>
      <c r="P465" s="18" t="n">
        <v>-1.5</v>
      </c>
      <c r="Q465" s="18" t="n">
        <v>-0.93</v>
      </c>
    </row>
    <row r="466" customFormat="false" ht="15" hidden="false" customHeight="false" outlineLevel="0" collapsed="false">
      <c r="A466" s="18" t="n">
        <v>117</v>
      </c>
      <c r="B466" s="18" t="s">
        <v>745</v>
      </c>
      <c r="C466" s="18" t="s">
        <v>634</v>
      </c>
      <c r="D466" s="18" t="s">
        <v>491</v>
      </c>
      <c r="E466" s="18" t="n">
        <v>0</v>
      </c>
      <c r="F466" s="18" t="n">
        <v>0</v>
      </c>
      <c r="G466" s="20" t="n">
        <v>-0.0701</v>
      </c>
      <c r="H466" s="20" t="n">
        <v>0.0047</v>
      </c>
      <c r="I466" s="28" t="n">
        <v>226.2</v>
      </c>
      <c r="J466" s="28" t="n">
        <v>1346.2</v>
      </c>
      <c r="K466" s="28" t="n">
        <v>147.4</v>
      </c>
      <c r="L466" s="29" t="n">
        <v>1.626</v>
      </c>
      <c r="M466" s="19" t="n">
        <v>1.11</v>
      </c>
      <c r="N466" s="28" t="n">
        <v>8.79</v>
      </c>
      <c r="O466" s="18" t="n">
        <v>33</v>
      </c>
      <c r="P466" s="18" t="n">
        <v>-1.75</v>
      </c>
      <c r="Q466" s="18" t="n">
        <v>-0.93</v>
      </c>
    </row>
    <row r="467" customFormat="false" ht="15" hidden="false" customHeight="false" outlineLevel="0" collapsed="false">
      <c r="A467" s="18" t="n">
        <v>117</v>
      </c>
      <c r="B467" s="18" t="s">
        <v>745</v>
      </c>
      <c r="C467" s="18" t="s">
        <v>634</v>
      </c>
      <c r="D467" s="18" t="s">
        <v>492</v>
      </c>
      <c r="E467" s="18" t="n">
        <v>1</v>
      </c>
      <c r="F467" s="18" t="n">
        <v>0</v>
      </c>
      <c r="G467" s="20" t="n">
        <v>-0.066</v>
      </c>
      <c r="H467" s="20" t="n">
        <v>0.0059</v>
      </c>
      <c r="I467" s="28" t="n">
        <v>218.9</v>
      </c>
      <c r="J467" s="28" t="n">
        <v>1463.7</v>
      </c>
      <c r="K467" s="28" t="n">
        <v>145.3</v>
      </c>
      <c r="L467" s="29" t="n">
        <v>3.742</v>
      </c>
      <c r="M467" s="19" t="n">
        <v>1.683</v>
      </c>
      <c r="N467" s="28" t="n">
        <v>7.66</v>
      </c>
      <c r="O467" s="18" t="n">
        <v>33</v>
      </c>
      <c r="P467" s="18" t="n">
        <v>-1.75</v>
      </c>
      <c r="Q467" s="18" t="n">
        <v>-0.93</v>
      </c>
    </row>
    <row r="468" customFormat="false" ht="15" hidden="false" customHeight="false" outlineLevel="0" collapsed="false">
      <c r="A468" s="18" t="n">
        <v>117</v>
      </c>
      <c r="B468" s="18" t="s">
        <v>746</v>
      </c>
      <c r="C468" s="18" t="s">
        <v>634</v>
      </c>
      <c r="D468" s="18" t="s">
        <v>494</v>
      </c>
      <c r="E468" s="18" t="n">
        <v>0</v>
      </c>
      <c r="F468" s="18" t="n">
        <v>1</v>
      </c>
      <c r="G468" s="20" t="n">
        <v>0.1132</v>
      </c>
      <c r="H468" s="20" t="n">
        <v>0.007</v>
      </c>
      <c r="I468" s="28" t="n">
        <v>227.5</v>
      </c>
      <c r="J468" s="28" t="n">
        <v>1343.9</v>
      </c>
      <c r="K468" s="28" t="n">
        <v>156.5</v>
      </c>
      <c r="L468" s="18"/>
      <c r="M468" s="19" t="n">
        <v>1.009</v>
      </c>
      <c r="N468" s="28" t="n">
        <v>9.56</v>
      </c>
      <c r="O468" s="18" t="n">
        <v>33</v>
      </c>
      <c r="P468" s="18" t="n">
        <v>-1.75</v>
      </c>
      <c r="Q468" s="18" t="n">
        <v>-0.93</v>
      </c>
    </row>
    <row r="469" customFormat="false" ht="15" hidden="false" customHeight="false" outlineLevel="0" collapsed="false">
      <c r="A469" s="18" t="n">
        <v>117</v>
      </c>
      <c r="B469" s="18" t="s">
        <v>746</v>
      </c>
      <c r="C469" s="18" t="s">
        <v>634</v>
      </c>
      <c r="D469" s="18" t="s">
        <v>495</v>
      </c>
      <c r="E469" s="18" t="n">
        <v>1</v>
      </c>
      <c r="F469" s="18" t="n">
        <v>1</v>
      </c>
      <c r="G469" s="20" t="n">
        <v>0.0981</v>
      </c>
      <c r="H469" s="20" t="n">
        <v>0.0049</v>
      </c>
      <c r="I469" s="28" t="n">
        <v>240.6</v>
      </c>
      <c r="J469" s="28" t="n">
        <v>1459.6</v>
      </c>
      <c r="K469" s="28" t="n">
        <v>158.7</v>
      </c>
      <c r="L469" s="18"/>
      <c r="M469" s="19" t="n">
        <v>0.956</v>
      </c>
      <c r="N469" s="28" t="n">
        <v>9.74</v>
      </c>
      <c r="O469" s="18" t="n">
        <v>33</v>
      </c>
      <c r="P469" s="18" t="n">
        <v>-1.75</v>
      </c>
      <c r="Q469" s="18" t="n">
        <v>-0.93</v>
      </c>
    </row>
    <row r="470" customFormat="false" ht="15" hidden="false" customHeight="false" outlineLevel="0" collapsed="false">
      <c r="A470" s="18" t="n">
        <v>118</v>
      </c>
      <c r="B470" s="18" t="s">
        <v>747</v>
      </c>
      <c r="C470" s="18" t="s">
        <v>672</v>
      </c>
      <c r="D470" s="18" t="s">
        <v>491</v>
      </c>
      <c r="E470" s="18" t="n">
        <v>0</v>
      </c>
      <c r="F470" s="18" t="n">
        <v>0</v>
      </c>
      <c r="G470" s="20" t="n">
        <v>-0.1124</v>
      </c>
      <c r="H470" s="20" t="n">
        <v>0.006</v>
      </c>
      <c r="I470" s="28" t="n">
        <v>241.7</v>
      </c>
      <c r="J470" s="28" t="n">
        <v>1927.4</v>
      </c>
      <c r="K470" s="28" t="n">
        <v>125.3</v>
      </c>
      <c r="L470" s="29" t="n">
        <v>4.593</v>
      </c>
      <c r="M470" s="19" t="n">
        <v>1.003</v>
      </c>
      <c r="N470" s="28" t="n">
        <v>9.84</v>
      </c>
      <c r="O470" s="18" t="n">
        <v>29</v>
      </c>
      <c r="P470" s="18" t="n">
        <v>-2</v>
      </c>
      <c r="Q470" s="18" t="n">
        <v>-0.93</v>
      </c>
    </row>
    <row r="471" customFormat="false" ht="15" hidden="false" customHeight="false" outlineLevel="0" collapsed="false">
      <c r="A471" s="18" t="n">
        <v>118</v>
      </c>
      <c r="B471" s="18" t="s">
        <v>747</v>
      </c>
      <c r="C471" s="18" t="s">
        <v>672</v>
      </c>
      <c r="D471" s="18" t="s">
        <v>492</v>
      </c>
      <c r="E471" s="18" t="n">
        <v>1</v>
      </c>
      <c r="F471" s="18" t="n">
        <v>0</v>
      </c>
      <c r="G471" s="20" t="n">
        <v>-0.1</v>
      </c>
      <c r="H471" s="20" t="n">
        <v>0.0055</v>
      </c>
      <c r="I471" s="28" t="n">
        <v>217.2</v>
      </c>
      <c r="J471" s="28" t="n">
        <v>2052.1</v>
      </c>
      <c r="K471" s="28" t="n">
        <v>128.5</v>
      </c>
      <c r="L471" s="29" t="n">
        <v>2.335</v>
      </c>
      <c r="M471" s="19" t="n">
        <v>0.822</v>
      </c>
      <c r="N471" s="28" t="n">
        <v>10.48</v>
      </c>
      <c r="O471" s="18" t="n">
        <v>29</v>
      </c>
      <c r="P471" s="18" t="n">
        <v>-2</v>
      </c>
      <c r="Q471" s="18" t="n">
        <v>-0.93</v>
      </c>
    </row>
    <row r="472" customFormat="false" ht="15" hidden="false" customHeight="false" outlineLevel="0" collapsed="false">
      <c r="A472" s="18" t="n">
        <v>118</v>
      </c>
      <c r="B472" s="18" t="s">
        <v>748</v>
      </c>
      <c r="C472" s="18" t="s">
        <v>672</v>
      </c>
      <c r="D472" s="18" t="s">
        <v>494</v>
      </c>
      <c r="E472" s="18" t="n">
        <v>0</v>
      </c>
      <c r="F472" s="18" t="n">
        <v>1</v>
      </c>
      <c r="G472" s="20" t="n">
        <v>0.1455</v>
      </c>
      <c r="H472" s="20" t="n">
        <v>0.0088</v>
      </c>
      <c r="I472" s="28" t="n">
        <v>239.2</v>
      </c>
      <c r="J472" s="28" t="n">
        <v>1924.5</v>
      </c>
      <c r="K472" s="28" t="n">
        <v>133.2</v>
      </c>
      <c r="L472" s="29" t="n">
        <v>3.479</v>
      </c>
      <c r="M472" s="19" t="n">
        <v>2.329</v>
      </c>
      <c r="N472" s="28" t="n">
        <v>10.87</v>
      </c>
      <c r="O472" s="18" t="n">
        <v>30</v>
      </c>
      <c r="P472" s="18" t="n">
        <v>-2</v>
      </c>
      <c r="Q472" s="18" t="n">
        <v>-0.93</v>
      </c>
    </row>
    <row r="473" customFormat="false" ht="15" hidden="false" customHeight="false" outlineLevel="0" collapsed="false">
      <c r="A473" s="18" t="n">
        <v>118</v>
      </c>
      <c r="B473" s="18" t="s">
        <v>748</v>
      </c>
      <c r="C473" s="18" t="s">
        <v>672</v>
      </c>
      <c r="D473" s="18" t="s">
        <v>495</v>
      </c>
      <c r="E473" s="18" t="n">
        <v>1</v>
      </c>
      <c r="F473" s="18" t="n">
        <v>1</v>
      </c>
      <c r="G473" s="20" t="n">
        <v>0.1386</v>
      </c>
      <c r="H473" s="20" t="n">
        <v>0.0066</v>
      </c>
      <c r="I473" s="28" t="n">
        <v>242.7</v>
      </c>
      <c r="J473" s="28" t="n">
        <v>2045.1</v>
      </c>
      <c r="K473" s="28" t="n">
        <v>139.3</v>
      </c>
      <c r="L473" s="29" t="n">
        <v>2.349</v>
      </c>
      <c r="M473" s="19" t="n">
        <v>1.424</v>
      </c>
      <c r="N473" s="28" t="n">
        <v>9.94</v>
      </c>
      <c r="O473" s="18" t="n">
        <v>30</v>
      </c>
      <c r="P473" s="18" t="n">
        <v>-2</v>
      </c>
      <c r="Q473" s="18" t="n">
        <v>-0.93</v>
      </c>
    </row>
    <row r="474" customFormat="false" ht="15" hidden="false" customHeight="false" outlineLevel="0" collapsed="false">
      <c r="A474" s="18" t="n">
        <v>119</v>
      </c>
      <c r="B474" s="18" t="s">
        <v>749</v>
      </c>
      <c r="C474" s="18" t="s">
        <v>500</v>
      </c>
      <c r="D474" s="18" t="s">
        <v>491</v>
      </c>
      <c r="E474" s="18" t="n">
        <v>0</v>
      </c>
      <c r="F474" s="18" t="n">
        <v>0</v>
      </c>
      <c r="G474" s="20" t="n">
        <v>-0.0524</v>
      </c>
      <c r="H474" s="20" t="n">
        <v>0.0051</v>
      </c>
      <c r="I474" s="28" t="n">
        <v>187.9</v>
      </c>
      <c r="J474" s="28" t="n">
        <v>530.6</v>
      </c>
      <c r="K474" s="28" t="n">
        <v>115.1</v>
      </c>
      <c r="L474" s="29" t="n">
        <v>1.353</v>
      </c>
      <c r="M474" s="19" t="n">
        <v>1.137</v>
      </c>
      <c r="N474" s="28" t="n">
        <v>6.04</v>
      </c>
      <c r="O474" s="18" t="n">
        <v>31</v>
      </c>
      <c r="P474" s="18" t="n">
        <v>-1.25</v>
      </c>
      <c r="Q474" s="18" t="n">
        <v>-0.93</v>
      </c>
    </row>
    <row r="475" customFormat="false" ht="15" hidden="false" customHeight="false" outlineLevel="0" collapsed="false">
      <c r="A475" s="18" t="n">
        <v>119</v>
      </c>
      <c r="B475" s="18" t="s">
        <v>749</v>
      </c>
      <c r="C475" s="18" t="s">
        <v>500</v>
      </c>
      <c r="D475" s="18" t="s">
        <v>492</v>
      </c>
      <c r="E475" s="18" t="n">
        <v>1</v>
      </c>
      <c r="F475" s="18" t="n">
        <v>0</v>
      </c>
      <c r="G475" s="20" t="n">
        <v>-0.045</v>
      </c>
      <c r="H475" s="20" t="n">
        <v>0.0062</v>
      </c>
      <c r="I475" s="28" t="n">
        <v>185.8</v>
      </c>
      <c r="J475" s="28" t="n">
        <v>636.7</v>
      </c>
      <c r="K475" s="28" t="n">
        <v>109</v>
      </c>
      <c r="L475" s="29" t="n">
        <v>1.091</v>
      </c>
      <c r="M475" s="19" t="n">
        <v>0.812</v>
      </c>
      <c r="N475" s="28" t="n">
        <v>5.46</v>
      </c>
      <c r="O475" s="18" t="n">
        <v>31</v>
      </c>
      <c r="P475" s="18" t="n">
        <v>-1.25</v>
      </c>
      <c r="Q475" s="18" t="n">
        <v>-0.93</v>
      </c>
    </row>
    <row r="476" customFormat="false" ht="15" hidden="false" customHeight="false" outlineLevel="0" collapsed="false">
      <c r="A476" s="18" t="n">
        <v>119</v>
      </c>
      <c r="B476" s="18" t="s">
        <v>750</v>
      </c>
      <c r="C476" s="18" t="s">
        <v>500</v>
      </c>
      <c r="D476" s="18" t="s">
        <v>494</v>
      </c>
      <c r="E476" s="18" t="n">
        <v>0</v>
      </c>
      <c r="F476" s="18" t="n">
        <v>1</v>
      </c>
      <c r="G476" s="20" t="n">
        <v>0.0505</v>
      </c>
      <c r="H476" s="20" t="n">
        <v>0.0073</v>
      </c>
      <c r="I476" s="28" t="n">
        <v>200.3</v>
      </c>
      <c r="J476" s="28" t="n">
        <v>527</v>
      </c>
      <c r="K476" s="28" t="n">
        <v>167.3</v>
      </c>
      <c r="L476" s="18"/>
      <c r="M476" s="19" t="n">
        <v>0.866</v>
      </c>
      <c r="N476" s="28" t="n">
        <v>6.91</v>
      </c>
      <c r="O476" s="18" t="n">
        <v>33</v>
      </c>
      <c r="P476" s="18" t="n">
        <v>-1.25</v>
      </c>
      <c r="Q476" s="18" t="n">
        <v>-0.93</v>
      </c>
    </row>
    <row r="477" customFormat="false" ht="15" hidden="false" customHeight="false" outlineLevel="0" collapsed="false">
      <c r="A477" s="18" t="n">
        <v>119</v>
      </c>
      <c r="B477" s="18" t="s">
        <v>750</v>
      </c>
      <c r="C477" s="18" t="s">
        <v>500</v>
      </c>
      <c r="D477" s="18" t="s">
        <v>495</v>
      </c>
      <c r="E477" s="18" t="n">
        <v>1</v>
      </c>
      <c r="F477" s="18" t="n">
        <v>1</v>
      </c>
      <c r="G477" s="20" t="n">
        <v>0.0403</v>
      </c>
      <c r="H477" s="20" t="n">
        <v>0.0087</v>
      </c>
      <c r="I477" s="28" t="n">
        <v>184.8</v>
      </c>
      <c r="J477" s="28" t="n">
        <v>634.7</v>
      </c>
      <c r="K477" s="28" t="n">
        <v>164.7</v>
      </c>
      <c r="L477" s="29" t="n">
        <v>3.331</v>
      </c>
      <c r="M477" s="19" t="n">
        <v>1.23</v>
      </c>
      <c r="N477" s="28" t="n">
        <v>7.99</v>
      </c>
      <c r="O477" s="18" t="n">
        <v>33</v>
      </c>
      <c r="P477" s="18" t="n">
        <v>-1.25</v>
      </c>
      <c r="Q477" s="18" t="n">
        <v>-0.93</v>
      </c>
    </row>
    <row r="478" customFormat="false" ht="15" hidden="false" customHeight="false" outlineLevel="0" collapsed="false">
      <c r="A478" s="18" t="n">
        <v>120</v>
      </c>
      <c r="B478" s="18" t="s">
        <v>751</v>
      </c>
      <c r="C478" s="18" t="s">
        <v>577</v>
      </c>
      <c r="D478" s="18" t="s">
        <v>491</v>
      </c>
      <c r="E478" s="18" t="n">
        <v>0</v>
      </c>
      <c r="F478" s="18" t="n">
        <v>0</v>
      </c>
      <c r="G478" s="20" t="n">
        <v>-0.0647</v>
      </c>
      <c r="H478" s="20" t="n">
        <v>0.0067</v>
      </c>
      <c r="I478" s="28" t="n">
        <v>212.8</v>
      </c>
      <c r="J478" s="28" t="n">
        <v>875.1</v>
      </c>
      <c r="K478" s="28" t="n">
        <v>138.2</v>
      </c>
      <c r="L478" s="29" t="n">
        <v>3.53</v>
      </c>
      <c r="M478" s="19" t="n">
        <v>0.88</v>
      </c>
      <c r="N478" s="28" t="n">
        <v>7.74</v>
      </c>
      <c r="O478" s="18" t="n">
        <v>33</v>
      </c>
      <c r="P478" s="18" t="n">
        <v>-1.5</v>
      </c>
      <c r="Q478" s="18" t="n">
        <v>-0.93</v>
      </c>
    </row>
    <row r="479" customFormat="false" ht="15" hidden="false" customHeight="false" outlineLevel="0" collapsed="false">
      <c r="A479" s="18" t="n">
        <v>120</v>
      </c>
      <c r="B479" s="18" t="s">
        <v>751</v>
      </c>
      <c r="C479" s="18" t="s">
        <v>577</v>
      </c>
      <c r="D479" s="18" t="s">
        <v>492</v>
      </c>
      <c r="E479" s="18" t="n">
        <v>1</v>
      </c>
      <c r="F479" s="18" t="n">
        <v>0</v>
      </c>
      <c r="G479" s="20" t="n">
        <v>-0.0552</v>
      </c>
      <c r="H479" s="20" t="n">
        <v>0.0056</v>
      </c>
      <c r="I479" s="28" t="n">
        <v>204.4</v>
      </c>
      <c r="J479" s="28" t="n">
        <v>984.1</v>
      </c>
      <c r="K479" s="28" t="n">
        <v>143.6</v>
      </c>
      <c r="L479" s="29" t="n">
        <v>2.319</v>
      </c>
      <c r="M479" s="19" t="n">
        <v>1.068</v>
      </c>
      <c r="N479" s="28" t="n">
        <v>9</v>
      </c>
      <c r="O479" s="18" t="n">
        <v>33</v>
      </c>
      <c r="P479" s="18" t="n">
        <v>-1.5</v>
      </c>
      <c r="Q479" s="18" t="n">
        <v>-0.93</v>
      </c>
    </row>
    <row r="480" customFormat="false" ht="15" hidden="false" customHeight="false" outlineLevel="0" collapsed="false">
      <c r="A480" s="18" t="n">
        <v>120</v>
      </c>
      <c r="B480" s="18" t="s">
        <v>752</v>
      </c>
      <c r="C480" s="18" t="s">
        <v>577</v>
      </c>
      <c r="D480" s="18" t="s">
        <v>494</v>
      </c>
      <c r="E480" s="18" t="n">
        <v>0</v>
      </c>
      <c r="F480" s="18" t="n">
        <v>1</v>
      </c>
      <c r="G480" s="20" t="n">
        <v>0.0807</v>
      </c>
      <c r="H480" s="20" t="n">
        <v>0.0071</v>
      </c>
      <c r="I480" s="28" t="n">
        <v>221.5</v>
      </c>
      <c r="J480" s="28" t="n">
        <v>875.3</v>
      </c>
      <c r="K480" s="28" t="n">
        <v>141</v>
      </c>
      <c r="L480" s="18"/>
      <c r="M480" s="19" t="n">
        <v>0.767</v>
      </c>
      <c r="N480" s="28" t="n">
        <v>8.82</v>
      </c>
      <c r="O480" s="18" t="n">
        <v>33</v>
      </c>
      <c r="P480" s="18" t="n">
        <v>-1.5</v>
      </c>
      <c r="Q480" s="18" t="n">
        <v>-0.93</v>
      </c>
    </row>
    <row r="481" customFormat="false" ht="15" hidden="false" customHeight="false" outlineLevel="0" collapsed="false">
      <c r="A481" s="18" t="n">
        <v>120</v>
      </c>
      <c r="B481" s="18" t="s">
        <v>752</v>
      </c>
      <c r="C481" s="18" t="s">
        <v>577</v>
      </c>
      <c r="D481" s="18" t="s">
        <v>495</v>
      </c>
      <c r="E481" s="18" t="n">
        <v>1</v>
      </c>
      <c r="F481" s="18" t="n">
        <v>1</v>
      </c>
      <c r="G481" s="20" t="n">
        <v>0.071</v>
      </c>
      <c r="H481" s="20" t="n">
        <v>0.007</v>
      </c>
      <c r="I481" s="28" t="n">
        <v>222.6</v>
      </c>
      <c r="J481" s="28" t="n">
        <v>984</v>
      </c>
      <c r="K481" s="28" t="n">
        <v>146.7</v>
      </c>
      <c r="L481" s="18"/>
      <c r="M481" s="19" t="n">
        <v>0.843</v>
      </c>
      <c r="N481" s="28" t="n">
        <v>8.9</v>
      </c>
      <c r="O481" s="18" t="n">
        <v>33</v>
      </c>
      <c r="P481" s="18" t="n">
        <v>-1.5</v>
      </c>
      <c r="Q481" s="18" t="n">
        <v>-0.93</v>
      </c>
    </row>
    <row r="482" customFormat="false" ht="15" hidden="false" customHeight="false" outlineLevel="0" collapsed="false">
      <c r="A482" s="18" t="n">
        <v>121</v>
      </c>
      <c r="B482" s="18" t="s">
        <v>753</v>
      </c>
      <c r="C482" s="18" t="s">
        <v>634</v>
      </c>
      <c r="D482" s="18" t="s">
        <v>491</v>
      </c>
      <c r="E482" s="18" t="n">
        <v>0</v>
      </c>
      <c r="F482" s="18" t="n">
        <v>0</v>
      </c>
      <c r="G482" s="20" t="n">
        <v>-0.0814</v>
      </c>
      <c r="H482" s="20" t="n">
        <v>0.0064</v>
      </c>
      <c r="I482" s="28" t="n">
        <v>219.9</v>
      </c>
      <c r="J482" s="28" t="n">
        <v>1340.7</v>
      </c>
      <c r="K482" s="28" t="n">
        <v>150.3</v>
      </c>
      <c r="L482" s="29" t="n">
        <v>5.622</v>
      </c>
      <c r="M482" s="19" t="n">
        <v>0.896</v>
      </c>
      <c r="N482" s="28" t="n">
        <v>9.51</v>
      </c>
      <c r="O482" s="18" t="n">
        <v>33</v>
      </c>
      <c r="P482" s="18" t="n">
        <v>-1.75</v>
      </c>
      <c r="Q482" s="18" t="n">
        <v>-0.93</v>
      </c>
    </row>
    <row r="483" customFormat="false" ht="15" hidden="false" customHeight="false" outlineLevel="0" collapsed="false">
      <c r="A483" s="18" t="n">
        <v>121</v>
      </c>
      <c r="B483" s="18" t="s">
        <v>753</v>
      </c>
      <c r="C483" s="18" t="s">
        <v>634</v>
      </c>
      <c r="D483" s="18" t="s">
        <v>492</v>
      </c>
      <c r="E483" s="18" t="n">
        <v>1</v>
      </c>
      <c r="F483" s="18" t="n">
        <v>0</v>
      </c>
      <c r="G483" s="20" t="n">
        <v>-0.0749</v>
      </c>
      <c r="H483" s="20" t="n">
        <v>0.0058</v>
      </c>
      <c r="I483" s="28" t="n">
        <v>232.6</v>
      </c>
      <c r="J483" s="28" t="n">
        <v>1454.1</v>
      </c>
      <c r="K483" s="28" t="n">
        <v>157.3</v>
      </c>
      <c r="L483" s="29" t="n">
        <v>2.107</v>
      </c>
      <c r="M483" s="19" t="n">
        <v>0.904</v>
      </c>
      <c r="N483" s="28" t="n">
        <v>9.1</v>
      </c>
      <c r="O483" s="18" t="n">
        <v>33</v>
      </c>
      <c r="P483" s="18" t="n">
        <v>-1.75</v>
      </c>
      <c r="Q483" s="18" t="n">
        <v>-0.93</v>
      </c>
    </row>
    <row r="484" customFormat="false" ht="15" hidden="false" customHeight="false" outlineLevel="0" collapsed="false">
      <c r="A484" s="18" t="n">
        <v>121</v>
      </c>
      <c r="B484" s="18" t="s">
        <v>754</v>
      </c>
      <c r="C484" s="18" t="s">
        <v>634</v>
      </c>
      <c r="D484" s="18" t="s">
        <v>494</v>
      </c>
      <c r="E484" s="18" t="n">
        <v>0</v>
      </c>
      <c r="F484" s="18" t="n">
        <v>1</v>
      </c>
      <c r="G484" s="20" t="n">
        <v>0.107</v>
      </c>
      <c r="H484" s="20" t="n">
        <v>0.0068</v>
      </c>
      <c r="I484" s="28" t="n">
        <v>223.5</v>
      </c>
      <c r="J484" s="28" t="n">
        <v>1340.8</v>
      </c>
      <c r="K484" s="28" t="n">
        <v>152.2</v>
      </c>
      <c r="L484" s="29" t="n">
        <v>0.4</v>
      </c>
      <c r="M484" s="19" t="n">
        <v>0.874</v>
      </c>
      <c r="N484" s="28" t="n">
        <v>8.22</v>
      </c>
      <c r="O484" s="18" t="n">
        <v>33</v>
      </c>
      <c r="P484" s="18" t="n">
        <v>-1.75</v>
      </c>
      <c r="Q484" s="18" t="n">
        <v>-0.93</v>
      </c>
    </row>
    <row r="485" customFormat="false" ht="15" hidden="false" customHeight="false" outlineLevel="0" collapsed="false">
      <c r="A485" s="18" t="n">
        <v>121</v>
      </c>
      <c r="B485" s="18" t="s">
        <v>754</v>
      </c>
      <c r="C485" s="18" t="s">
        <v>634</v>
      </c>
      <c r="D485" s="18" t="s">
        <v>495</v>
      </c>
      <c r="E485" s="18" t="n">
        <v>1</v>
      </c>
      <c r="F485" s="18" t="n">
        <v>1</v>
      </c>
      <c r="G485" s="20" t="n">
        <v>0.1088</v>
      </c>
      <c r="H485" s="20" t="n">
        <v>0.0073</v>
      </c>
      <c r="I485" s="28" t="n">
        <v>221.7</v>
      </c>
      <c r="J485" s="28" t="n">
        <v>1456.3</v>
      </c>
      <c r="K485" s="28" t="n">
        <v>151.1</v>
      </c>
      <c r="L485" s="29" t="n">
        <v>0.659</v>
      </c>
      <c r="M485" s="19" t="n">
        <v>0.997</v>
      </c>
      <c r="N485" s="28" t="n">
        <v>8.99</v>
      </c>
      <c r="O485" s="18" t="n">
        <v>33</v>
      </c>
      <c r="P485" s="18" t="n">
        <v>-1.75</v>
      </c>
      <c r="Q485" s="18" t="n">
        <v>-0.93</v>
      </c>
    </row>
    <row r="486" customFormat="false" ht="15" hidden="false" customHeight="false" outlineLevel="0" collapsed="false">
      <c r="A486" s="18" t="n">
        <v>122</v>
      </c>
      <c r="B486" s="18" t="s">
        <v>755</v>
      </c>
      <c r="C486" s="18" t="s">
        <v>672</v>
      </c>
      <c r="D486" s="18" t="s">
        <v>491</v>
      </c>
      <c r="E486" s="18" t="n">
        <v>0</v>
      </c>
      <c r="F486" s="18" t="n">
        <v>0</v>
      </c>
      <c r="G486" s="20" t="n">
        <v>-0.0936</v>
      </c>
      <c r="H486" s="20" t="n">
        <v>0.0067</v>
      </c>
      <c r="I486" s="28" t="n">
        <v>226.7</v>
      </c>
      <c r="J486" s="28" t="n">
        <v>1926.8</v>
      </c>
      <c r="K486" s="28" t="n">
        <v>139.2</v>
      </c>
      <c r="L486" s="29" t="n">
        <v>1.823</v>
      </c>
      <c r="M486" s="19" t="n">
        <v>0.686</v>
      </c>
      <c r="N486" s="28" t="n">
        <v>9.99</v>
      </c>
      <c r="O486" s="18" t="n">
        <v>31</v>
      </c>
      <c r="P486" s="18" t="n">
        <v>-2</v>
      </c>
      <c r="Q486" s="18" t="n">
        <v>-0.93</v>
      </c>
    </row>
    <row r="487" customFormat="false" ht="15" hidden="false" customHeight="false" outlineLevel="0" collapsed="false">
      <c r="A487" s="18" t="n">
        <v>122</v>
      </c>
      <c r="B487" s="18" t="s">
        <v>755</v>
      </c>
      <c r="C487" s="18" t="s">
        <v>672</v>
      </c>
      <c r="D487" s="18" t="s">
        <v>492</v>
      </c>
      <c r="E487" s="18" t="n">
        <v>1</v>
      </c>
      <c r="F487" s="18" t="n">
        <v>0</v>
      </c>
      <c r="G487" s="20" t="n">
        <v>-0.0907</v>
      </c>
      <c r="H487" s="20" t="n">
        <v>0.006</v>
      </c>
      <c r="I487" s="28" t="n">
        <v>240.4</v>
      </c>
      <c r="J487" s="28" t="n">
        <v>2047.1</v>
      </c>
      <c r="K487" s="28" t="n">
        <v>149.2</v>
      </c>
      <c r="L487" s="29" t="n">
        <v>2.65</v>
      </c>
      <c r="M487" s="19" t="n">
        <v>0.96</v>
      </c>
      <c r="N487" s="28" t="n">
        <v>11.53</v>
      </c>
      <c r="O487" s="18" t="n">
        <v>31</v>
      </c>
      <c r="P487" s="18" t="n">
        <v>-2</v>
      </c>
      <c r="Q487" s="18" t="n">
        <v>-0.93</v>
      </c>
    </row>
    <row r="488" customFormat="false" ht="15" hidden="false" customHeight="false" outlineLevel="0" collapsed="false">
      <c r="A488" s="18" t="n">
        <v>122</v>
      </c>
      <c r="B488" s="18" t="s">
        <v>756</v>
      </c>
      <c r="C488" s="18" t="s">
        <v>672</v>
      </c>
      <c r="D488" s="18" t="s">
        <v>494</v>
      </c>
      <c r="E488" s="18" t="n">
        <v>0</v>
      </c>
      <c r="F488" s="18" t="n">
        <v>1</v>
      </c>
      <c r="G488" s="20" t="n">
        <v>0.1613</v>
      </c>
      <c r="H488" s="20" t="n">
        <v>0.0067</v>
      </c>
      <c r="I488" s="28" t="n">
        <v>250.3</v>
      </c>
      <c r="J488" s="28" t="n">
        <v>1923.9</v>
      </c>
      <c r="K488" s="28" t="n">
        <v>159.1</v>
      </c>
      <c r="L488" s="29" t="n">
        <v>4.855</v>
      </c>
      <c r="M488" s="19" t="n">
        <v>1.131</v>
      </c>
      <c r="N488" s="28" t="n">
        <v>11.03</v>
      </c>
      <c r="O488" s="18" t="n">
        <v>33</v>
      </c>
      <c r="P488" s="18" t="n">
        <v>-2</v>
      </c>
      <c r="Q488" s="18" t="n">
        <v>-0.93</v>
      </c>
    </row>
    <row r="489" customFormat="false" ht="15" hidden="false" customHeight="false" outlineLevel="0" collapsed="false">
      <c r="A489" s="18" t="n">
        <v>122</v>
      </c>
      <c r="B489" s="18" t="s">
        <v>756</v>
      </c>
      <c r="C489" s="18" t="s">
        <v>672</v>
      </c>
      <c r="D489" s="18" t="s">
        <v>495</v>
      </c>
      <c r="E489" s="18" t="n">
        <v>1</v>
      </c>
      <c r="F489" s="18" t="n">
        <v>1</v>
      </c>
      <c r="G489" s="20" t="n">
        <v>0.1397</v>
      </c>
      <c r="H489" s="20" t="n">
        <v>0.0072</v>
      </c>
      <c r="I489" s="28" t="n">
        <v>241.8</v>
      </c>
      <c r="J489" s="28" t="n">
        <v>2045.2</v>
      </c>
      <c r="K489" s="28" t="n">
        <v>166.4</v>
      </c>
      <c r="L489" s="29" t="n">
        <v>1.944</v>
      </c>
      <c r="M489" s="19" t="n">
        <v>0.686</v>
      </c>
      <c r="N489" s="28" t="n">
        <v>11.15</v>
      </c>
      <c r="O489" s="18" t="n">
        <v>33</v>
      </c>
      <c r="P489" s="18" t="n">
        <v>-2</v>
      </c>
      <c r="Q489" s="18" t="n">
        <v>-0.93</v>
      </c>
    </row>
    <row r="490" customFormat="false" ht="15" hidden="false" customHeight="false" outlineLevel="0" collapsed="false">
      <c r="A490" s="18" t="n">
        <v>123</v>
      </c>
      <c r="B490" s="18" t="s">
        <v>757</v>
      </c>
      <c r="C490" s="18" t="s">
        <v>634</v>
      </c>
      <c r="D490" s="18" t="s">
        <v>491</v>
      </c>
      <c r="E490" s="18" t="n">
        <v>0</v>
      </c>
      <c r="F490" s="18" t="n">
        <v>0</v>
      </c>
      <c r="G490" s="20" t="n">
        <v>-0.0709</v>
      </c>
      <c r="H490" s="20" t="n">
        <v>0.0035</v>
      </c>
      <c r="I490" s="28" t="n">
        <v>217.6</v>
      </c>
      <c r="J490" s="28" t="n">
        <v>1344.3</v>
      </c>
      <c r="K490" s="28" t="n">
        <v>160.1</v>
      </c>
      <c r="L490" s="29" t="n">
        <v>2.565</v>
      </c>
      <c r="M490" s="19" t="n">
        <v>1.017</v>
      </c>
      <c r="N490" s="28" t="n">
        <v>7.76</v>
      </c>
      <c r="O490" s="18" t="n">
        <v>33</v>
      </c>
      <c r="P490" s="18" t="n">
        <v>-1.75</v>
      </c>
      <c r="Q490" s="18" t="n">
        <v>-0.93</v>
      </c>
    </row>
    <row r="491" customFormat="false" ht="15" hidden="false" customHeight="false" outlineLevel="0" collapsed="false">
      <c r="A491" s="18" t="n">
        <v>123</v>
      </c>
      <c r="B491" s="18" t="s">
        <v>757</v>
      </c>
      <c r="C491" s="18" t="s">
        <v>634</v>
      </c>
      <c r="D491" s="18" t="s">
        <v>492</v>
      </c>
      <c r="E491" s="18" t="n">
        <v>1</v>
      </c>
      <c r="F491" s="18" t="n">
        <v>0</v>
      </c>
      <c r="G491" s="20" t="n">
        <v>-0.0676</v>
      </c>
      <c r="H491" s="20" t="n">
        <v>0.0037</v>
      </c>
      <c r="I491" s="28" t="n">
        <v>224</v>
      </c>
      <c r="J491" s="28" t="n">
        <v>1459.8</v>
      </c>
      <c r="K491" s="28" t="n">
        <v>155.2</v>
      </c>
      <c r="L491" s="29" t="n">
        <v>0.442</v>
      </c>
      <c r="M491" s="19" t="n">
        <v>1.288</v>
      </c>
      <c r="N491" s="28" t="n">
        <v>8.56</v>
      </c>
      <c r="O491" s="18" t="n">
        <v>33</v>
      </c>
      <c r="P491" s="18" t="n">
        <v>-1.75</v>
      </c>
      <c r="Q491" s="18" t="n">
        <v>-0.93</v>
      </c>
    </row>
    <row r="492" customFormat="false" ht="15" hidden="false" customHeight="false" outlineLevel="0" collapsed="false">
      <c r="A492" s="18" t="n">
        <v>123</v>
      </c>
      <c r="B492" s="18" t="s">
        <v>758</v>
      </c>
      <c r="C492" s="18" t="s">
        <v>634</v>
      </c>
      <c r="D492" s="18" t="s">
        <v>494</v>
      </c>
      <c r="E492" s="18" t="n">
        <v>0</v>
      </c>
      <c r="F492" s="18" t="n">
        <v>1</v>
      </c>
      <c r="G492" s="20" t="n">
        <v>0.1038</v>
      </c>
      <c r="H492" s="20" t="n">
        <v>0.0042</v>
      </c>
      <c r="I492" s="28" t="n">
        <v>224.4</v>
      </c>
      <c r="J492" s="28" t="n">
        <v>1338.7</v>
      </c>
      <c r="K492" s="28" t="n">
        <v>148</v>
      </c>
      <c r="L492" s="29" t="n">
        <v>1.793</v>
      </c>
      <c r="M492" s="19" t="n">
        <v>1.324</v>
      </c>
      <c r="N492" s="28" t="n">
        <v>7.93</v>
      </c>
      <c r="O492" s="18" t="n">
        <v>33</v>
      </c>
      <c r="P492" s="18" t="n">
        <v>-1.75</v>
      </c>
      <c r="Q492" s="18" t="n">
        <v>-0.93</v>
      </c>
    </row>
    <row r="493" customFormat="false" ht="15" hidden="false" customHeight="false" outlineLevel="0" collapsed="false">
      <c r="A493" s="18" t="n">
        <v>123</v>
      </c>
      <c r="B493" s="18" t="s">
        <v>758</v>
      </c>
      <c r="C493" s="18" t="s">
        <v>634</v>
      </c>
      <c r="D493" s="18" t="s">
        <v>495</v>
      </c>
      <c r="E493" s="18" t="n">
        <v>1</v>
      </c>
      <c r="F493" s="18" t="n">
        <v>1</v>
      </c>
      <c r="G493" s="20" t="n">
        <v>0.0931</v>
      </c>
      <c r="H493" s="20" t="n">
        <v>0.0037</v>
      </c>
      <c r="I493" s="28" t="n">
        <v>231.4</v>
      </c>
      <c r="J493" s="28" t="n">
        <v>1454.8</v>
      </c>
      <c r="K493" s="28" t="n">
        <v>151.9</v>
      </c>
      <c r="L493" s="29" t="n">
        <v>0.756</v>
      </c>
      <c r="M493" s="19" t="n">
        <v>0.895</v>
      </c>
      <c r="N493" s="28" t="n">
        <v>8.29</v>
      </c>
      <c r="O493" s="18" t="n">
        <v>33</v>
      </c>
      <c r="P493" s="18" t="n">
        <v>-1.75</v>
      </c>
      <c r="Q493" s="18" t="n">
        <v>-0.93</v>
      </c>
    </row>
    <row r="494" customFormat="false" ht="15" hidden="false" customHeight="false" outlineLevel="0" collapsed="false">
      <c r="A494" s="18" t="n">
        <v>124</v>
      </c>
      <c r="B494" s="18" t="s">
        <v>759</v>
      </c>
      <c r="C494" s="18" t="s">
        <v>760</v>
      </c>
      <c r="D494" s="18" t="s">
        <v>491</v>
      </c>
      <c r="E494" s="18" t="n">
        <v>0</v>
      </c>
      <c r="F494" s="18" t="n">
        <v>0</v>
      </c>
      <c r="G494" s="20" t="n">
        <v>-0.0747</v>
      </c>
      <c r="H494" s="20" t="n">
        <v>0.0069</v>
      </c>
      <c r="I494" s="28" t="n">
        <v>226.8</v>
      </c>
      <c r="J494" s="28" t="n">
        <v>1338.9</v>
      </c>
      <c r="K494" s="28" t="n">
        <v>146.4</v>
      </c>
      <c r="L494" s="29" t="n">
        <v>0.252</v>
      </c>
      <c r="M494" s="19" t="n">
        <v>0.756</v>
      </c>
      <c r="N494" s="28" t="n">
        <v>8.21</v>
      </c>
      <c r="O494" s="18" t="n">
        <v>31</v>
      </c>
      <c r="P494" s="18" t="n">
        <v>-1.75</v>
      </c>
      <c r="Q494" s="18" t="n">
        <v>-0.93</v>
      </c>
    </row>
    <row r="495" customFormat="false" ht="15" hidden="false" customHeight="false" outlineLevel="0" collapsed="false">
      <c r="A495" s="18" t="n">
        <v>124</v>
      </c>
      <c r="B495" s="18" t="s">
        <v>759</v>
      </c>
      <c r="C495" s="18" t="s">
        <v>760</v>
      </c>
      <c r="D495" s="18" t="s">
        <v>492</v>
      </c>
      <c r="E495" s="18" t="n">
        <v>1</v>
      </c>
      <c r="F495" s="18" t="n">
        <v>0</v>
      </c>
      <c r="G495" s="20" t="n">
        <v>-0.066</v>
      </c>
      <c r="H495" s="20" t="n">
        <v>0.0059</v>
      </c>
      <c r="I495" s="28" t="n">
        <v>221.8</v>
      </c>
      <c r="J495" s="28" t="n">
        <v>1455</v>
      </c>
      <c r="K495" s="28" t="n">
        <v>140.7</v>
      </c>
      <c r="L495" s="18"/>
      <c r="M495" s="19" t="n">
        <v>0.872</v>
      </c>
      <c r="N495" s="28" t="n">
        <v>8.82</v>
      </c>
      <c r="O495" s="18" t="n">
        <v>31</v>
      </c>
      <c r="P495" s="18" t="n">
        <v>-1.75</v>
      </c>
      <c r="Q495" s="18" t="n">
        <v>-0.93</v>
      </c>
    </row>
    <row r="496" customFormat="false" ht="15" hidden="false" customHeight="false" outlineLevel="0" collapsed="false">
      <c r="A496" s="18" t="n">
        <v>124</v>
      </c>
      <c r="B496" s="18" t="s">
        <v>761</v>
      </c>
      <c r="C496" s="18" t="s">
        <v>760</v>
      </c>
      <c r="D496" s="18" t="s">
        <v>494</v>
      </c>
      <c r="E496" s="18" t="n">
        <v>0</v>
      </c>
      <c r="F496" s="18" t="n">
        <v>1</v>
      </c>
      <c r="G496" s="20" t="n">
        <v>0.115</v>
      </c>
      <c r="H496" s="20" t="n">
        <v>0.006</v>
      </c>
      <c r="I496" s="28" t="n">
        <v>226.1</v>
      </c>
      <c r="J496" s="28" t="n">
        <v>1338.4</v>
      </c>
      <c r="K496" s="28" t="n">
        <v>144.3</v>
      </c>
      <c r="L496" s="29" t="n">
        <v>1.715</v>
      </c>
      <c r="M496" s="19" t="n">
        <v>1.249</v>
      </c>
      <c r="N496" s="28" t="n">
        <v>10.46</v>
      </c>
      <c r="O496" s="18" t="n">
        <v>33</v>
      </c>
      <c r="P496" s="18" t="n">
        <v>-1.75</v>
      </c>
      <c r="Q496" s="18" t="n">
        <v>-0.93</v>
      </c>
    </row>
    <row r="497" customFormat="false" ht="15" hidden="false" customHeight="false" outlineLevel="0" collapsed="false">
      <c r="A497" s="18" t="n">
        <v>124</v>
      </c>
      <c r="B497" s="18" t="s">
        <v>761</v>
      </c>
      <c r="C497" s="18" t="s">
        <v>760</v>
      </c>
      <c r="D497" s="18" t="s">
        <v>495</v>
      </c>
      <c r="E497" s="18" t="n">
        <v>1</v>
      </c>
      <c r="F497" s="18" t="n">
        <v>1</v>
      </c>
      <c r="G497" s="20" t="n">
        <v>0.098</v>
      </c>
      <c r="H497" s="20" t="n">
        <v>0.0065</v>
      </c>
      <c r="I497" s="28" t="n">
        <v>214.5</v>
      </c>
      <c r="J497" s="28" t="n">
        <v>1454.9</v>
      </c>
      <c r="K497" s="28" t="n">
        <v>144.4</v>
      </c>
      <c r="L497" s="29" t="n">
        <v>0.598</v>
      </c>
      <c r="M497" s="19" t="n">
        <v>1.895</v>
      </c>
      <c r="N497" s="28" t="n">
        <v>8.85</v>
      </c>
      <c r="O497" s="18" t="n">
        <v>33</v>
      </c>
      <c r="P497" s="18" t="n">
        <v>-1.75</v>
      </c>
      <c r="Q497" s="18" t="n">
        <v>-0.93</v>
      </c>
    </row>
    <row r="498" customFormat="false" ht="15" hidden="false" customHeight="false" outlineLevel="0" collapsed="false">
      <c r="A498" s="18" t="n">
        <v>125</v>
      </c>
      <c r="B498" s="18" t="s">
        <v>762</v>
      </c>
      <c r="C498" s="18" t="s">
        <v>763</v>
      </c>
      <c r="D498" s="18" t="s">
        <v>491</v>
      </c>
      <c r="E498" s="18" t="n">
        <v>0</v>
      </c>
      <c r="F498" s="18" t="n">
        <v>0</v>
      </c>
      <c r="G498" s="20" t="n">
        <v>-0.0608</v>
      </c>
      <c r="H498" s="20" t="n">
        <v>0.0079</v>
      </c>
      <c r="I498" s="28" t="n">
        <v>223.4</v>
      </c>
      <c r="J498" s="28" t="n">
        <v>1340.8</v>
      </c>
      <c r="K498" s="28" t="n">
        <v>144.9</v>
      </c>
      <c r="L498" s="18"/>
      <c r="M498" s="19" t="n">
        <v>1.009</v>
      </c>
      <c r="N498" s="28" t="n">
        <v>9.71</v>
      </c>
      <c r="O498" s="18" t="n">
        <v>32</v>
      </c>
      <c r="P498" s="18" t="n">
        <v>-1.75</v>
      </c>
      <c r="Q498" s="18" t="n">
        <v>-0.93</v>
      </c>
    </row>
    <row r="499" customFormat="false" ht="15" hidden="false" customHeight="false" outlineLevel="0" collapsed="false">
      <c r="A499" s="18" t="n">
        <v>125</v>
      </c>
      <c r="B499" s="18" t="s">
        <v>762</v>
      </c>
      <c r="C499" s="18" t="s">
        <v>763</v>
      </c>
      <c r="D499" s="18" t="s">
        <v>492</v>
      </c>
      <c r="E499" s="18" t="n">
        <v>1</v>
      </c>
      <c r="F499" s="18" t="n">
        <v>0</v>
      </c>
      <c r="G499" s="20" t="n">
        <v>-0.0792</v>
      </c>
      <c r="H499" s="20" t="n">
        <v>0.0059</v>
      </c>
      <c r="I499" s="28" t="n">
        <v>222.1</v>
      </c>
      <c r="J499" s="28" t="n">
        <v>1456.8</v>
      </c>
      <c r="K499" s="28" t="n">
        <v>152.2</v>
      </c>
      <c r="L499" s="29" t="n">
        <v>2.847</v>
      </c>
      <c r="M499" s="19" t="n">
        <v>1.233</v>
      </c>
      <c r="N499" s="28" t="n">
        <v>8.28</v>
      </c>
      <c r="O499" s="18" t="n">
        <v>32</v>
      </c>
      <c r="P499" s="18" t="n">
        <v>-1.75</v>
      </c>
      <c r="Q499" s="18" t="n">
        <v>-0.93</v>
      </c>
    </row>
    <row r="500" customFormat="false" ht="15" hidden="false" customHeight="false" outlineLevel="0" collapsed="false">
      <c r="A500" s="18" t="n">
        <v>125</v>
      </c>
      <c r="B500" s="18" t="s">
        <v>764</v>
      </c>
      <c r="C500" s="18" t="s">
        <v>763</v>
      </c>
      <c r="D500" s="18" t="s">
        <v>494</v>
      </c>
      <c r="E500" s="18" t="n">
        <v>0</v>
      </c>
      <c r="F500" s="18" t="n">
        <v>1</v>
      </c>
      <c r="G500" s="20" t="n">
        <v>0.1171</v>
      </c>
      <c r="H500" s="20" t="n">
        <v>0.0066</v>
      </c>
      <c r="I500" s="28" t="n">
        <v>228.6</v>
      </c>
      <c r="J500" s="28" t="n">
        <v>1335.7</v>
      </c>
      <c r="K500" s="28" t="n">
        <v>172.3</v>
      </c>
      <c r="L500" s="29" t="n">
        <v>1.864</v>
      </c>
      <c r="M500" s="19" t="n">
        <v>1.172</v>
      </c>
      <c r="N500" s="28" t="n">
        <v>8.32</v>
      </c>
      <c r="O500" s="18" t="n">
        <v>33</v>
      </c>
      <c r="P500" s="18" t="n">
        <v>-1.75</v>
      </c>
      <c r="Q500" s="18" t="n">
        <v>-0.93</v>
      </c>
    </row>
    <row r="501" customFormat="false" ht="15" hidden="false" customHeight="false" outlineLevel="0" collapsed="false">
      <c r="A501" s="18" t="n">
        <v>125</v>
      </c>
      <c r="B501" s="18" t="s">
        <v>764</v>
      </c>
      <c r="C501" s="18" t="s">
        <v>763</v>
      </c>
      <c r="D501" s="18" t="s">
        <v>495</v>
      </c>
      <c r="E501" s="18" t="n">
        <v>1</v>
      </c>
      <c r="F501" s="18" t="n">
        <v>1</v>
      </c>
      <c r="G501" s="20" t="n">
        <v>0.1026</v>
      </c>
      <c r="H501" s="20" t="n">
        <v>0.011</v>
      </c>
      <c r="I501" s="28" t="n">
        <v>227.4</v>
      </c>
      <c r="J501" s="28" t="n">
        <v>1452.4</v>
      </c>
      <c r="K501" s="28" t="n">
        <v>178</v>
      </c>
      <c r="L501" s="29" t="n">
        <v>3.214</v>
      </c>
      <c r="M501" s="19" t="n">
        <v>1.081</v>
      </c>
      <c r="N501" s="28" t="n">
        <v>11.21</v>
      </c>
      <c r="O501" s="18" t="n">
        <v>33</v>
      </c>
      <c r="P501" s="18" t="n">
        <v>-1.75</v>
      </c>
      <c r="Q501" s="18" t="n">
        <v>-0.93</v>
      </c>
    </row>
    <row r="502" customFormat="false" ht="15" hidden="false" customHeight="false" outlineLevel="0" collapsed="false">
      <c r="A502" s="18" t="n">
        <v>126</v>
      </c>
      <c r="B502" s="18" t="s">
        <v>765</v>
      </c>
      <c r="C502" s="18" t="s">
        <v>634</v>
      </c>
      <c r="D502" s="18" t="s">
        <v>491</v>
      </c>
      <c r="E502" s="18" t="n">
        <v>0</v>
      </c>
      <c r="F502" s="18" t="n">
        <v>0</v>
      </c>
      <c r="G502" s="20" t="n">
        <v>-0.0718</v>
      </c>
      <c r="H502" s="20" t="n">
        <v>0.0069</v>
      </c>
      <c r="I502" s="28" t="n">
        <v>214.1</v>
      </c>
      <c r="J502" s="28" t="n">
        <v>1337.6</v>
      </c>
      <c r="K502" s="28" t="n">
        <v>149.4</v>
      </c>
      <c r="L502" s="29" t="n">
        <v>1.531</v>
      </c>
      <c r="M502" s="19" t="n">
        <v>0.858</v>
      </c>
      <c r="N502" s="28" t="n">
        <v>9.77</v>
      </c>
      <c r="O502" s="18" t="n">
        <v>33</v>
      </c>
      <c r="P502" s="18" t="n">
        <v>-1.75</v>
      </c>
      <c r="Q502" s="18" t="n">
        <v>-0.93</v>
      </c>
    </row>
    <row r="503" customFormat="false" ht="15" hidden="false" customHeight="false" outlineLevel="0" collapsed="false">
      <c r="A503" s="18" t="n">
        <v>126</v>
      </c>
      <c r="B503" s="18" t="s">
        <v>765</v>
      </c>
      <c r="C503" s="18" t="s">
        <v>634</v>
      </c>
      <c r="D503" s="18" t="s">
        <v>492</v>
      </c>
      <c r="E503" s="18" t="n">
        <v>1</v>
      </c>
      <c r="F503" s="18" t="n">
        <v>0</v>
      </c>
      <c r="G503" s="20" t="n">
        <v>-0.0851</v>
      </c>
      <c r="H503" s="20" t="n">
        <v>0.0066</v>
      </c>
      <c r="I503" s="28" t="n">
        <v>230</v>
      </c>
      <c r="J503" s="28" t="n">
        <v>1450.1</v>
      </c>
      <c r="K503" s="28" t="n">
        <v>156.5</v>
      </c>
      <c r="L503" s="18"/>
      <c r="M503" s="19" t="n">
        <v>1.038</v>
      </c>
      <c r="N503" s="28" t="n">
        <v>10.03</v>
      </c>
      <c r="O503" s="18" t="n">
        <v>33</v>
      </c>
      <c r="P503" s="18" t="n">
        <v>-1.75</v>
      </c>
      <c r="Q503" s="18" t="n">
        <v>-0.93</v>
      </c>
    </row>
    <row r="504" customFormat="false" ht="15" hidden="false" customHeight="false" outlineLevel="0" collapsed="false">
      <c r="A504" s="18" t="n">
        <v>126</v>
      </c>
      <c r="B504" s="18" t="s">
        <v>766</v>
      </c>
      <c r="C504" s="18" t="s">
        <v>634</v>
      </c>
      <c r="D504" s="18" t="s">
        <v>494</v>
      </c>
      <c r="E504" s="18" t="n">
        <v>0</v>
      </c>
      <c r="F504" s="18" t="n">
        <v>1</v>
      </c>
      <c r="G504" s="20" t="n">
        <v>0.1172</v>
      </c>
      <c r="H504" s="20" t="n">
        <v>0.0066</v>
      </c>
      <c r="I504" s="28" t="n">
        <v>225.1</v>
      </c>
      <c r="J504" s="28" t="n">
        <v>1335.8</v>
      </c>
      <c r="K504" s="28" t="n">
        <v>147.8</v>
      </c>
      <c r="L504" s="18"/>
      <c r="M504" s="19" t="n">
        <v>1.449</v>
      </c>
      <c r="N504" s="28" t="n">
        <v>10.39</v>
      </c>
      <c r="O504" s="18" t="n">
        <v>33</v>
      </c>
      <c r="P504" s="18" t="n">
        <v>-1.75</v>
      </c>
      <c r="Q504" s="18" t="n">
        <v>-0.93</v>
      </c>
    </row>
    <row r="505" customFormat="false" ht="15" hidden="false" customHeight="false" outlineLevel="0" collapsed="false">
      <c r="A505" s="18" t="n">
        <v>126</v>
      </c>
      <c r="B505" s="18" t="s">
        <v>766</v>
      </c>
      <c r="C505" s="18" t="s">
        <v>634</v>
      </c>
      <c r="D505" s="18" t="s">
        <v>495</v>
      </c>
      <c r="E505" s="18" t="n">
        <v>1</v>
      </c>
      <c r="F505" s="18" t="n">
        <v>1</v>
      </c>
      <c r="G505" s="20" t="n">
        <v>0.0905</v>
      </c>
      <c r="H505" s="20" t="n">
        <v>0.0058</v>
      </c>
      <c r="I505" s="28" t="n">
        <v>227.5</v>
      </c>
      <c r="J505" s="28" t="n">
        <v>1450.3</v>
      </c>
      <c r="K505" s="28" t="n">
        <v>146.3</v>
      </c>
      <c r="L505" s="18"/>
      <c r="M505" s="19" t="n">
        <v>0.804</v>
      </c>
      <c r="N505" s="28" t="n">
        <v>9.66</v>
      </c>
      <c r="O505" s="18" t="n">
        <v>33</v>
      </c>
      <c r="P505" s="18" t="n">
        <v>-1.75</v>
      </c>
      <c r="Q505" s="18" t="n">
        <v>-0.93</v>
      </c>
    </row>
    <row r="506" customFormat="false" ht="15" hidden="false" customHeight="false" outlineLevel="0" collapsed="false">
      <c r="A506" s="18" t="n">
        <v>127</v>
      </c>
      <c r="B506" s="18" t="s">
        <v>767</v>
      </c>
      <c r="C506" s="18" t="s">
        <v>760</v>
      </c>
      <c r="D506" s="18" t="s">
        <v>491</v>
      </c>
      <c r="E506" s="18" t="n">
        <v>0</v>
      </c>
      <c r="F506" s="18" t="n">
        <v>0</v>
      </c>
      <c r="G506" s="20" t="n">
        <v>-0.0866</v>
      </c>
      <c r="H506" s="20" t="n">
        <v>0.009</v>
      </c>
      <c r="I506" s="28" t="n">
        <v>231.1</v>
      </c>
      <c r="J506" s="28" t="n">
        <v>1337</v>
      </c>
      <c r="K506" s="28" t="n">
        <v>115</v>
      </c>
      <c r="L506" s="18"/>
      <c r="M506" s="19" t="n">
        <v>0.797</v>
      </c>
      <c r="N506" s="28" t="n">
        <v>8.9</v>
      </c>
      <c r="O506" s="18" t="n">
        <v>29</v>
      </c>
      <c r="P506" s="18" t="n">
        <v>-1.75</v>
      </c>
      <c r="Q506" s="18" t="n">
        <v>-0.93</v>
      </c>
    </row>
    <row r="507" customFormat="false" ht="15" hidden="false" customHeight="false" outlineLevel="0" collapsed="false">
      <c r="A507" s="18" t="n">
        <v>127</v>
      </c>
      <c r="B507" s="18" t="s">
        <v>767</v>
      </c>
      <c r="C507" s="18" t="s">
        <v>760</v>
      </c>
      <c r="D507" s="18" t="s">
        <v>492</v>
      </c>
      <c r="E507" s="18" t="n">
        <v>1</v>
      </c>
      <c r="F507" s="18" t="n">
        <v>0</v>
      </c>
      <c r="G507" s="20" t="n">
        <v>-0.0797</v>
      </c>
      <c r="H507" s="20" t="n">
        <v>0.0085</v>
      </c>
      <c r="I507" s="28" t="n">
        <v>229.8</v>
      </c>
      <c r="J507" s="28" t="n">
        <v>1449.6</v>
      </c>
      <c r="K507" s="28" t="n">
        <v>117</v>
      </c>
      <c r="L507" s="29" t="n">
        <v>5.124</v>
      </c>
      <c r="M507" s="19" t="n">
        <v>1.256</v>
      </c>
      <c r="N507" s="28" t="n">
        <v>9.39</v>
      </c>
      <c r="O507" s="18" t="n">
        <v>29</v>
      </c>
      <c r="P507" s="18" t="n">
        <v>-1.75</v>
      </c>
      <c r="Q507" s="18" t="n">
        <v>-0.93</v>
      </c>
    </row>
    <row r="508" customFormat="false" ht="15" hidden="false" customHeight="false" outlineLevel="0" collapsed="false">
      <c r="A508" s="18" t="n">
        <v>127</v>
      </c>
      <c r="B508" s="18" t="s">
        <v>768</v>
      </c>
      <c r="C508" s="18" t="s">
        <v>760</v>
      </c>
      <c r="D508" s="18" t="s">
        <v>494</v>
      </c>
      <c r="E508" s="18" t="n">
        <v>0</v>
      </c>
      <c r="F508" s="18" t="n">
        <v>1</v>
      </c>
      <c r="G508" s="20" t="n">
        <v>0.1173</v>
      </c>
      <c r="H508" s="20" t="n">
        <v>0.0074</v>
      </c>
      <c r="I508" s="28" t="n">
        <v>217.5</v>
      </c>
      <c r="J508" s="28" t="n">
        <v>1336.8</v>
      </c>
      <c r="K508" s="28" t="n">
        <v>130.5</v>
      </c>
      <c r="L508" s="18"/>
      <c r="M508" s="19" t="n">
        <v>0.986</v>
      </c>
      <c r="N508" s="28" t="n">
        <v>9.88</v>
      </c>
      <c r="O508" s="18" t="n">
        <v>31</v>
      </c>
      <c r="P508" s="18" t="n">
        <v>-1.75</v>
      </c>
      <c r="Q508" s="18" t="n">
        <v>-0.93</v>
      </c>
    </row>
    <row r="509" customFormat="false" ht="15" hidden="false" customHeight="false" outlineLevel="0" collapsed="false">
      <c r="A509" s="18" t="n">
        <v>127</v>
      </c>
      <c r="B509" s="18" t="s">
        <v>768</v>
      </c>
      <c r="C509" s="18" t="s">
        <v>760</v>
      </c>
      <c r="D509" s="18" t="s">
        <v>495</v>
      </c>
      <c r="E509" s="18" t="n">
        <v>1</v>
      </c>
      <c r="F509" s="18" t="n">
        <v>1</v>
      </c>
      <c r="G509" s="20" t="n">
        <v>0.0909</v>
      </c>
      <c r="H509" s="20" t="n">
        <v>0.0061</v>
      </c>
      <c r="I509" s="28" t="n">
        <v>244.5</v>
      </c>
      <c r="J509" s="28" t="n">
        <v>1447.7</v>
      </c>
      <c r="K509" s="28" t="n">
        <v>128.3</v>
      </c>
      <c r="L509" s="29" t="n">
        <v>3.379</v>
      </c>
      <c r="M509" s="19" t="n">
        <v>1.053</v>
      </c>
      <c r="N509" s="28" t="n">
        <v>8.63</v>
      </c>
      <c r="O509" s="18" t="n">
        <v>31</v>
      </c>
      <c r="P509" s="18" t="n">
        <v>-1.75</v>
      </c>
      <c r="Q509" s="18" t="n">
        <v>-0.93</v>
      </c>
    </row>
    <row r="510" customFormat="false" ht="15" hidden="false" customHeight="false" outlineLevel="0" collapsed="false">
      <c r="A510" s="18" t="n">
        <v>128</v>
      </c>
      <c r="B510" s="18" t="s">
        <v>769</v>
      </c>
      <c r="C510" s="18" t="s">
        <v>763</v>
      </c>
      <c r="D510" s="18" t="s">
        <v>491</v>
      </c>
      <c r="E510" s="18" t="n">
        <v>0</v>
      </c>
      <c r="F510" s="18" t="n">
        <v>0</v>
      </c>
      <c r="G510" s="20" t="n">
        <v>-0.0614</v>
      </c>
      <c r="H510" s="20" t="n">
        <v>0.0069</v>
      </c>
      <c r="I510" s="28" t="n">
        <v>219.6</v>
      </c>
      <c r="J510" s="28" t="n">
        <v>1340.5</v>
      </c>
      <c r="K510" s="28" t="n">
        <v>162.5</v>
      </c>
      <c r="L510" s="29" t="n">
        <v>1.961</v>
      </c>
      <c r="M510" s="19" t="n">
        <v>1.279</v>
      </c>
      <c r="N510" s="28" t="n">
        <v>8.99</v>
      </c>
      <c r="O510" s="18" t="n">
        <v>33</v>
      </c>
      <c r="P510" s="18" t="n">
        <v>-1.75</v>
      </c>
      <c r="Q510" s="18" t="n">
        <v>-0.93</v>
      </c>
    </row>
    <row r="511" customFormat="false" ht="15" hidden="false" customHeight="false" outlineLevel="0" collapsed="false">
      <c r="A511" s="18" t="n">
        <v>128</v>
      </c>
      <c r="B511" s="18" t="s">
        <v>769</v>
      </c>
      <c r="C511" s="18" t="s">
        <v>763</v>
      </c>
      <c r="D511" s="18" t="s">
        <v>492</v>
      </c>
      <c r="E511" s="18" t="n">
        <v>1</v>
      </c>
      <c r="F511" s="18" t="n">
        <v>0</v>
      </c>
      <c r="G511" s="20" t="n">
        <v>-0.0734</v>
      </c>
      <c r="H511" s="20" t="n">
        <v>0.0063</v>
      </c>
      <c r="I511" s="28" t="n">
        <v>232.8</v>
      </c>
      <c r="J511" s="28" t="n">
        <v>1452.9</v>
      </c>
      <c r="K511" s="28" t="n">
        <v>148.8</v>
      </c>
      <c r="L511" s="29" t="n">
        <v>3.24</v>
      </c>
      <c r="M511" s="19" t="n">
        <v>0.94</v>
      </c>
      <c r="N511" s="28" t="n">
        <v>8.59</v>
      </c>
      <c r="O511" s="18" t="n">
        <v>33</v>
      </c>
      <c r="P511" s="18" t="n">
        <v>-1.75</v>
      </c>
      <c r="Q511" s="18" t="n">
        <v>-0.93</v>
      </c>
    </row>
    <row r="512" customFormat="false" ht="15" hidden="false" customHeight="false" outlineLevel="0" collapsed="false">
      <c r="A512" s="18" t="n">
        <v>128</v>
      </c>
      <c r="B512" s="18" t="s">
        <v>770</v>
      </c>
      <c r="C512" s="18" t="s">
        <v>763</v>
      </c>
      <c r="D512" s="18" t="s">
        <v>494</v>
      </c>
      <c r="E512" s="18" t="n">
        <v>0</v>
      </c>
      <c r="F512" s="18" t="n">
        <v>1</v>
      </c>
      <c r="G512" s="20" t="n">
        <v>0.1089</v>
      </c>
      <c r="H512" s="20" t="n">
        <v>0.0067</v>
      </c>
      <c r="I512" s="28" t="n">
        <v>232.6</v>
      </c>
      <c r="J512" s="28" t="n">
        <v>1335.2</v>
      </c>
      <c r="K512" s="28" t="n">
        <v>147.8</v>
      </c>
      <c r="L512" s="18"/>
      <c r="M512" s="19" t="n">
        <v>0.821</v>
      </c>
      <c r="N512" s="28" t="n">
        <v>7.86</v>
      </c>
      <c r="O512" s="18" t="n">
        <v>33</v>
      </c>
      <c r="P512" s="18" t="n">
        <v>-1.75</v>
      </c>
      <c r="Q512" s="18" t="n">
        <v>-0.93</v>
      </c>
    </row>
    <row r="513" customFormat="false" ht="15" hidden="false" customHeight="false" outlineLevel="0" collapsed="false">
      <c r="A513" s="18" t="n">
        <v>128</v>
      </c>
      <c r="B513" s="18" t="s">
        <v>770</v>
      </c>
      <c r="C513" s="18" t="s">
        <v>763</v>
      </c>
      <c r="D513" s="18" t="s">
        <v>495</v>
      </c>
      <c r="E513" s="18" t="n">
        <v>1</v>
      </c>
      <c r="F513" s="18" t="n">
        <v>1</v>
      </c>
      <c r="G513" s="20" t="n">
        <v>0.0938</v>
      </c>
      <c r="H513" s="20" t="n">
        <v>0.0066</v>
      </c>
      <c r="I513" s="28" t="n">
        <v>226.4</v>
      </c>
      <c r="J513" s="28" t="n">
        <v>1452</v>
      </c>
      <c r="K513" s="28" t="n">
        <v>149.4</v>
      </c>
      <c r="L513" s="29" t="n">
        <v>3.464</v>
      </c>
      <c r="M513" s="19" t="n">
        <v>0.73</v>
      </c>
      <c r="N513" s="28" t="n">
        <v>10.02</v>
      </c>
      <c r="O513" s="18" t="n">
        <v>33</v>
      </c>
      <c r="P513" s="18" t="n">
        <v>-1.75</v>
      </c>
      <c r="Q513" s="18" t="n">
        <v>-0.93</v>
      </c>
    </row>
    <row r="514" customFormat="false" ht="15" hidden="false" customHeight="false" outlineLevel="0" collapsed="false">
      <c r="A514" s="18" t="n">
        <v>129</v>
      </c>
      <c r="B514" s="18" t="s">
        <v>771</v>
      </c>
      <c r="C514" s="18" t="s">
        <v>760</v>
      </c>
      <c r="D514" s="18" t="s">
        <v>491</v>
      </c>
      <c r="E514" s="18" t="n">
        <v>0</v>
      </c>
      <c r="F514" s="18" t="n">
        <v>0</v>
      </c>
      <c r="G514" s="20" t="n">
        <v>-0.0829</v>
      </c>
      <c r="H514" s="20" t="n">
        <v>0.0077</v>
      </c>
      <c r="I514" s="28" t="n">
        <v>235.1</v>
      </c>
      <c r="J514" s="28" t="n">
        <v>1339</v>
      </c>
      <c r="K514" s="28" t="n">
        <v>131.3</v>
      </c>
      <c r="L514" s="29" t="n">
        <v>3.96</v>
      </c>
      <c r="M514" s="19" t="n">
        <v>1.315</v>
      </c>
      <c r="N514" s="28" t="n">
        <v>10.73</v>
      </c>
      <c r="O514" s="18" t="n">
        <v>32</v>
      </c>
      <c r="P514" s="18" t="n">
        <v>-1.75</v>
      </c>
      <c r="Q514" s="18" t="n">
        <v>-0.93</v>
      </c>
    </row>
    <row r="515" customFormat="false" ht="15" hidden="false" customHeight="false" outlineLevel="0" collapsed="false">
      <c r="A515" s="18" t="n">
        <v>129</v>
      </c>
      <c r="B515" s="18" t="s">
        <v>771</v>
      </c>
      <c r="C515" s="18" t="s">
        <v>760</v>
      </c>
      <c r="D515" s="18" t="s">
        <v>492</v>
      </c>
      <c r="E515" s="18" t="n">
        <v>1</v>
      </c>
      <c r="F515" s="18" t="n">
        <v>0</v>
      </c>
      <c r="G515" s="20" t="n">
        <v>-0.0731</v>
      </c>
      <c r="H515" s="20" t="n">
        <v>0.0077</v>
      </c>
      <c r="I515" s="28" t="n">
        <v>233.9</v>
      </c>
      <c r="J515" s="28" t="n">
        <v>1456.8</v>
      </c>
      <c r="K515" s="28" t="n">
        <v>131.5</v>
      </c>
      <c r="L515" s="29" t="n">
        <v>1.63</v>
      </c>
      <c r="M515" s="19" t="n">
        <v>0.949</v>
      </c>
      <c r="N515" s="28" t="n">
        <v>10.82</v>
      </c>
      <c r="O515" s="18" t="n">
        <v>32</v>
      </c>
      <c r="P515" s="18" t="n">
        <v>-1.75</v>
      </c>
      <c r="Q515" s="18" t="n">
        <v>-0.93</v>
      </c>
    </row>
    <row r="516" customFormat="false" ht="15" hidden="false" customHeight="false" outlineLevel="0" collapsed="false">
      <c r="A516" s="18" t="n">
        <v>129</v>
      </c>
      <c r="B516" s="18" t="s">
        <v>772</v>
      </c>
      <c r="C516" s="18" t="s">
        <v>760</v>
      </c>
      <c r="D516" s="18" t="s">
        <v>494</v>
      </c>
      <c r="E516" s="18" t="n">
        <v>0</v>
      </c>
      <c r="F516" s="18" t="n">
        <v>1</v>
      </c>
      <c r="G516" s="20" t="n">
        <v>0.1162</v>
      </c>
      <c r="H516" s="20" t="n">
        <v>0.0076</v>
      </c>
      <c r="I516" s="28" t="n">
        <v>217.1</v>
      </c>
      <c r="J516" s="28" t="n">
        <v>1337.7</v>
      </c>
      <c r="K516" s="28" t="n">
        <v>129.3</v>
      </c>
      <c r="L516" s="29" t="n">
        <v>4.188</v>
      </c>
      <c r="M516" s="19" t="n">
        <v>0.692</v>
      </c>
      <c r="N516" s="28" t="n">
        <v>8.84</v>
      </c>
      <c r="O516" s="18" t="n">
        <v>30</v>
      </c>
      <c r="P516" s="18" t="n">
        <v>-1.75</v>
      </c>
      <c r="Q516" s="18" t="n">
        <v>-0.93</v>
      </c>
    </row>
    <row r="517" customFormat="false" ht="15" hidden="false" customHeight="false" outlineLevel="0" collapsed="false">
      <c r="A517" s="18" t="n">
        <v>129</v>
      </c>
      <c r="B517" s="18" t="s">
        <v>772</v>
      </c>
      <c r="C517" s="18" t="s">
        <v>760</v>
      </c>
      <c r="D517" s="18" t="s">
        <v>495</v>
      </c>
      <c r="E517" s="18" t="n">
        <v>1</v>
      </c>
      <c r="F517" s="18" t="n">
        <v>1</v>
      </c>
      <c r="G517" s="20" t="n">
        <v>0.1039</v>
      </c>
      <c r="H517" s="20" t="n">
        <v>0.0071</v>
      </c>
      <c r="I517" s="28" t="n">
        <v>232.8</v>
      </c>
      <c r="J517" s="28" t="n">
        <v>1456.2</v>
      </c>
      <c r="K517" s="28" t="n">
        <v>115.8</v>
      </c>
      <c r="L517" s="29" t="n">
        <v>0.488</v>
      </c>
      <c r="M517" s="19" t="n">
        <v>1.373</v>
      </c>
      <c r="N517" s="28" t="n">
        <v>9.69</v>
      </c>
      <c r="O517" s="18" t="n">
        <v>30</v>
      </c>
      <c r="P517" s="18" t="n">
        <v>-1.75</v>
      </c>
      <c r="Q517" s="18" t="n">
        <v>-0.93</v>
      </c>
    </row>
    <row r="518" customFormat="false" ht="15" hidden="false" customHeight="false" outlineLevel="0" collapsed="false">
      <c r="A518" s="18" t="n">
        <v>130</v>
      </c>
      <c r="B518" s="18" t="s">
        <v>773</v>
      </c>
      <c r="C518" s="18" t="s">
        <v>634</v>
      </c>
      <c r="D518" s="18" t="s">
        <v>491</v>
      </c>
      <c r="E518" s="18" t="n">
        <v>0</v>
      </c>
      <c r="F518" s="18" t="n">
        <v>0</v>
      </c>
      <c r="G518" s="20" t="n">
        <v>-0.0726</v>
      </c>
      <c r="H518" s="20" t="n">
        <v>0.0069</v>
      </c>
      <c r="I518" s="28" t="n">
        <v>230.5</v>
      </c>
      <c r="J518" s="28" t="n">
        <v>1342.9</v>
      </c>
      <c r="K518" s="28" t="n">
        <v>143.5</v>
      </c>
      <c r="L518" s="29" t="n">
        <v>2.221</v>
      </c>
      <c r="M518" s="19" t="n">
        <v>0.889</v>
      </c>
      <c r="N518" s="28" t="n">
        <v>8.99</v>
      </c>
      <c r="O518" s="18" t="n">
        <v>33</v>
      </c>
      <c r="P518" s="18" t="n">
        <v>-1.75</v>
      </c>
      <c r="Q518" s="18" t="n">
        <v>-0.93</v>
      </c>
    </row>
    <row r="519" customFormat="false" ht="15" hidden="false" customHeight="false" outlineLevel="0" collapsed="false">
      <c r="A519" s="18" t="n">
        <v>130</v>
      </c>
      <c r="B519" s="18" t="s">
        <v>773</v>
      </c>
      <c r="C519" s="18" t="s">
        <v>634</v>
      </c>
      <c r="D519" s="18" t="s">
        <v>492</v>
      </c>
      <c r="E519" s="18" t="n">
        <v>1</v>
      </c>
      <c r="F519" s="18" t="n">
        <v>0</v>
      </c>
      <c r="G519" s="20" t="n">
        <v>-0.0662</v>
      </c>
      <c r="H519" s="20" t="n">
        <v>0.0068</v>
      </c>
      <c r="I519" s="28" t="n">
        <v>230.3</v>
      </c>
      <c r="J519" s="28" t="n">
        <v>1459</v>
      </c>
      <c r="K519" s="28" t="n">
        <v>148.4</v>
      </c>
      <c r="L519" s="29" t="n">
        <v>1.194</v>
      </c>
      <c r="M519" s="19" t="n">
        <v>1.092</v>
      </c>
      <c r="N519" s="28" t="n">
        <v>7.94</v>
      </c>
      <c r="O519" s="18" t="n">
        <v>33</v>
      </c>
      <c r="P519" s="18" t="n">
        <v>-1.75</v>
      </c>
      <c r="Q519" s="18" t="n">
        <v>-0.93</v>
      </c>
    </row>
    <row r="520" customFormat="false" ht="15" hidden="false" customHeight="false" outlineLevel="0" collapsed="false">
      <c r="A520" s="18" t="n">
        <v>130</v>
      </c>
      <c r="B520" s="18" t="s">
        <v>774</v>
      </c>
      <c r="C520" s="18" t="s">
        <v>634</v>
      </c>
      <c r="D520" s="18" t="s">
        <v>494</v>
      </c>
      <c r="E520" s="18" t="n">
        <v>0</v>
      </c>
      <c r="F520" s="18" t="n">
        <v>1</v>
      </c>
      <c r="G520" s="20" t="n">
        <v>0.1235</v>
      </c>
      <c r="H520" s="20" t="n">
        <v>0.009</v>
      </c>
      <c r="I520" s="28" t="n">
        <v>222.5</v>
      </c>
      <c r="J520" s="28" t="n">
        <v>1337.2</v>
      </c>
      <c r="K520" s="28" t="n">
        <v>145.8</v>
      </c>
      <c r="L520" s="29" t="n">
        <v>2.747</v>
      </c>
      <c r="M520" s="19" t="n">
        <v>0.978</v>
      </c>
      <c r="N520" s="28" t="n">
        <v>12.35</v>
      </c>
      <c r="O520" s="18" t="n">
        <v>31</v>
      </c>
      <c r="P520" s="18" t="n">
        <v>-1.75</v>
      </c>
      <c r="Q520" s="18" t="n">
        <v>-0.93</v>
      </c>
    </row>
    <row r="521" customFormat="false" ht="15" hidden="false" customHeight="false" outlineLevel="0" collapsed="false">
      <c r="A521" s="18" t="n">
        <v>130</v>
      </c>
      <c r="B521" s="18" t="s">
        <v>774</v>
      </c>
      <c r="C521" s="18" t="s">
        <v>634</v>
      </c>
      <c r="D521" s="18" t="s">
        <v>495</v>
      </c>
      <c r="E521" s="18" t="n">
        <v>1</v>
      </c>
      <c r="F521" s="18" t="n">
        <v>1</v>
      </c>
      <c r="G521" s="20" t="n">
        <v>0.0992</v>
      </c>
      <c r="H521" s="20" t="n">
        <v>0.007</v>
      </c>
      <c r="I521" s="28" t="n">
        <v>230</v>
      </c>
      <c r="J521" s="28" t="n">
        <v>1451.8</v>
      </c>
      <c r="K521" s="28" t="n">
        <v>158.6</v>
      </c>
      <c r="L521" s="18"/>
      <c r="M521" s="19" t="n">
        <v>0.797</v>
      </c>
      <c r="N521" s="28" t="n">
        <v>9.26</v>
      </c>
      <c r="O521" s="18" t="n">
        <v>31</v>
      </c>
      <c r="P521" s="18" t="n">
        <v>-1.75</v>
      </c>
      <c r="Q521" s="18" t="n">
        <v>-0.93</v>
      </c>
    </row>
    <row r="522" customFormat="false" ht="15" hidden="false" customHeight="false" outlineLevel="0" collapsed="false">
      <c r="A522" s="18" t="n">
        <v>131</v>
      </c>
      <c r="B522" s="18" t="s">
        <v>775</v>
      </c>
      <c r="C522" s="18" t="s">
        <v>776</v>
      </c>
      <c r="D522" s="18" t="s">
        <v>491</v>
      </c>
      <c r="E522" s="18" t="n">
        <v>0</v>
      </c>
      <c r="F522" s="18" t="n">
        <v>0</v>
      </c>
      <c r="G522" s="20" t="n">
        <v>-0.0915</v>
      </c>
      <c r="H522" s="20" t="n">
        <v>0.0088</v>
      </c>
      <c r="I522" s="28" t="n">
        <v>216.6</v>
      </c>
      <c r="J522" s="28" t="n">
        <v>1927.9</v>
      </c>
      <c r="K522" s="28" t="n">
        <v>144.8</v>
      </c>
      <c r="L522" s="18"/>
      <c r="M522" s="19" t="n">
        <v>1.248</v>
      </c>
      <c r="N522" s="28" t="n">
        <v>10.6</v>
      </c>
      <c r="O522" s="18" t="n">
        <v>33</v>
      </c>
      <c r="P522" s="18" t="n">
        <v>-2</v>
      </c>
      <c r="Q522" s="18" t="n">
        <v>-0.93</v>
      </c>
    </row>
    <row r="523" customFormat="false" ht="15" hidden="false" customHeight="false" outlineLevel="0" collapsed="false">
      <c r="A523" s="18" t="n">
        <v>131</v>
      </c>
      <c r="B523" s="18" t="s">
        <v>775</v>
      </c>
      <c r="C523" s="18" t="s">
        <v>776</v>
      </c>
      <c r="D523" s="18" t="s">
        <v>492</v>
      </c>
      <c r="E523" s="18" t="n">
        <v>1</v>
      </c>
      <c r="F523" s="18" t="n">
        <v>0</v>
      </c>
      <c r="G523" s="20" t="n">
        <v>-0.092</v>
      </c>
      <c r="H523" s="20" t="n">
        <v>0.007</v>
      </c>
      <c r="I523" s="28" t="n">
        <v>234.7</v>
      </c>
      <c r="J523" s="28" t="n">
        <v>2048</v>
      </c>
      <c r="K523" s="28" t="n">
        <v>161.7</v>
      </c>
      <c r="L523" s="18"/>
      <c r="M523" s="19" t="n">
        <v>1.302</v>
      </c>
      <c r="N523" s="28" t="n">
        <v>11.99</v>
      </c>
      <c r="O523" s="18" t="n">
        <v>33</v>
      </c>
      <c r="P523" s="18" t="n">
        <v>-2</v>
      </c>
      <c r="Q523" s="18" t="n">
        <v>-0.93</v>
      </c>
    </row>
    <row r="524" customFormat="false" ht="15" hidden="false" customHeight="false" outlineLevel="0" collapsed="false">
      <c r="A524" s="18" t="n">
        <v>131</v>
      </c>
      <c r="B524" s="18" t="s">
        <v>777</v>
      </c>
      <c r="C524" s="18" t="s">
        <v>776</v>
      </c>
      <c r="D524" s="18" t="s">
        <v>494</v>
      </c>
      <c r="E524" s="18" t="n">
        <v>0</v>
      </c>
      <c r="F524" s="18" t="n">
        <v>1</v>
      </c>
      <c r="G524" s="20" t="n">
        <v>0.1474</v>
      </c>
      <c r="H524" s="20" t="n">
        <v>0.0078</v>
      </c>
      <c r="I524" s="28" t="n">
        <v>239</v>
      </c>
      <c r="J524" s="28" t="n">
        <v>1922.6</v>
      </c>
      <c r="K524" s="28" t="n">
        <v>224.1</v>
      </c>
      <c r="L524" s="29" t="n">
        <v>0.428</v>
      </c>
      <c r="M524" s="19" t="n">
        <v>1.626</v>
      </c>
      <c r="N524" s="28" t="n">
        <v>10.53</v>
      </c>
      <c r="O524" s="18" t="n">
        <v>36</v>
      </c>
      <c r="P524" s="18" t="n">
        <v>-2</v>
      </c>
      <c r="Q524" s="18" t="n">
        <v>-0.93</v>
      </c>
    </row>
    <row r="525" customFormat="false" ht="15" hidden="false" customHeight="false" outlineLevel="0" collapsed="false">
      <c r="A525" s="18" t="n">
        <v>131</v>
      </c>
      <c r="B525" s="18" t="s">
        <v>777</v>
      </c>
      <c r="C525" s="18" t="s">
        <v>776</v>
      </c>
      <c r="D525" s="18" t="s">
        <v>495</v>
      </c>
      <c r="E525" s="18" t="n">
        <v>1</v>
      </c>
      <c r="F525" s="18" t="n">
        <v>1</v>
      </c>
      <c r="G525" s="20" t="n">
        <v>0.1457</v>
      </c>
      <c r="H525" s="20" t="n">
        <v>0.0053</v>
      </c>
      <c r="I525" s="28" t="n">
        <v>230</v>
      </c>
      <c r="J525" s="28" t="n">
        <v>2046.9</v>
      </c>
      <c r="K525" s="28" t="n">
        <v>222.4</v>
      </c>
      <c r="L525" s="29" t="n">
        <v>3.955</v>
      </c>
      <c r="M525" s="19" t="n">
        <v>0.826</v>
      </c>
      <c r="N525" s="28" t="n">
        <v>9.36</v>
      </c>
      <c r="O525" s="18" t="n">
        <v>36</v>
      </c>
      <c r="P525" s="18" t="n">
        <v>-2</v>
      </c>
      <c r="Q525" s="18" t="n">
        <v>-0.93</v>
      </c>
    </row>
    <row r="526" customFormat="false" ht="15" hidden="false" customHeight="false" outlineLevel="0" collapsed="false">
      <c r="A526" s="18" t="n">
        <v>132</v>
      </c>
      <c r="B526" s="18" t="s">
        <v>778</v>
      </c>
      <c r="C526" s="18" t="s">
        <v>779</v>
      </c>
      <c r="D526" s="18" t="s">
        <v>491</v>
      </c>
      <c r="E526" s="18" t="n">
        <v>0</v>
      </c>
      <c r="F526" s="18" t="n">
        <v>0</v>
      </c>
      <c r="G526" s="20" t="n">
        <v>-0.0534</v>
      </c>
      <c r="H526" s="20" t="n">
        <v>0.0069</v>
      </c>
      <c r="I526" s="28" t="n">
        <v>206.7</v>
      </c>
      <c r="J526" s="28" t="n">
        <v>871.6</v>
      </c>
      <c r="K526" s="28" t="n">
        <v>116.7</v>
      </c>
      <c r="L526" s="18"/>
      <c r="M526" s="19" t="n">
        <v>1.504</v>
      </c>
      <c r="N526" s="28" t="n">
        <v>7.45</v>
      </c>
      <c r="O526" s="18" t="n">
        <v>30</v>
      </c>
      <c r="P526" s="18" t="n">
        <v>-1.5</v>
      </c>
      <c r="Q526" s="18" t="n">
        <v>-0.93</v>
      </c>
    </row>
    <row r="527" customFormat="false" ht="15" hidden="false" customHeight="false" outlineLevel="0" collapsed="false">
      <c r="A527" s="18" t="n">
        <v>132</v>
      </c>
      <c r="B527" s="18" t="s">
        <v>778</v>
      </c>
      <c r="C527" s="18" t="s">
        <v>779</v>
      </c>
      <c r="D527" s="18" t="s">
        <v>492</v>
      </c>
      <c r="E527" s="18" t="n">
        <v>1</v>
      </c>
      <c r="F527" s="18" t="n">
        <v>0</v>
      </c>
      <c r="G527" s="20" t="n">
        <v>-0.0574</v>
      </c>
      <c r="H527" s="20" t="n">
        <v>0.0061</v>
      </c>
      <c r="I527" s="28" t="n">
        <v>203.7</v>
      </c>
      <c r="J527" s="28" t="n">
        <v>982.5</v>
      </c>
      <c r="K527" s="28" t="n">
        <v>118.5</v>
      </c>
      <c r="L527" s="29" t="n">
        <v>3.017</v>
      </c>
      <c r="M527" s="19" t="n">
        <v>1.129</v>
      </c>
      <c r="N527" s="28" t="n">
        <v>6.62</v>
      </c>
      <c r="O527" s="18" t="n">
        <v>30</v>
      </c>
      <c r="P527" s="18" t="n">
        <v>-1.5</v>
      </c>
      <c r="Q527" s="18" t="n">
        <v>-0.93</v>
      </c>
    </row>
    <row r="528" customFormat="false" ht="15" hidden="false" customHeight="false" outlineLevel="0" collapsed="false">
      <c r="A528" s="18" t="n">
        <v>132</v>
      </c>
      <c r="B528" s="18" t="s">
        <v>780</v>
      </c>
      <c r="C528" s="18" t="s">
        <v>779</v>
      </c>
      <c r="D528" s="18" t="s">
        <v>494</v>
      </c>
      <c r="E528" s="18" t="n">
        <v>0</v>
      </c>
      <c r="F528" s="18" t="n">
        <v>1</v>
      </c>
      <c r="G528" s="20" t="n">
        <v>0.0775</v>
      </c>
      <c r="H528" s="20" t="n">
        <v>0.0091</v>
      </c>
      <c r="I528" s="28" t="n">
        <v>200.2</v>
      </c>
      <c r="J528" s="28" t="n">
        <v>873.6</v>
      </c>
      <c r="K528" s="28" t="n">
        <v>113.8</v>
      </c>
      <c r="L528" s="29" t="n">
        <v>4.001</v>
      </c>
      <c r="M528" s="19" t="n">
        <v>1.269</v>
      </c>
      <c r="N528" s="28" t="n">
        <v>9.23</v>
      </c>
      <c r="O528" s="18" t="n">
        <v>29</v>
      </c>
      <c r="P528" s="18" t="n">
        <v>-1.5</v>
      </c>
      <c r="Q528" s="18" t="n">
        <v>-0.93</v>
      </c>
    </row>
    <row r="529" customFormat="false" ht="15" hidden="false" customHeight="false" outlineLevel="0" collapsed="false">
      <c r="A529" s="18" t="n">
        <v>132</v>
      </c>
      <c r="B529" s="18" t="s">
        <v>780</v>
      </c>
      <c r="C529" s="18" t="s">
        <v>779</v>
      </c>
      <c r="D529" s="18" t="s">
        <v>495</v>
      </c>
      <c r="E529" s="18" t="n">
        <v>1</v>
      </c>
      <c r="F529" s="18" t="n">
        <v>1</v>
      </c>
      <c r="G529" s="20" t="n">
        <v>0.0608</v>
      </c>
      <c r="H529" s="20" t="n">
        <v>0.0055</v>
      </c>
      <c r="I529" s="28" t="n">
        <v>229.6</v>
      </c>
      <c r="J529" s="28" t="n">
        <v>981.4</v>
      </c>
      <c r="K529" s="28" t="n">
        <v>128.9</v>
      </c>
      <c r="L529" s="29" t="n">
        <v>4.953</v>
      </c>
      <c r="M529" s="19" t="n">
        <v>1.436</v>
      </c>
      <c r="N529" s="28" t="n">
        <v>8.12</v>
      </c>
      <c r="O529" s="18" t="n">
        <v>29</v>
      </c>
      <c r="P529" s="18" t="n">
        <v>-1.5</v>
      </c>
      <c r="Q529" s="18" t="n">
        <v>-0.93</v>
      </c>
    </row>
    <row r="530" customFormat="false" ht="15" hidden="false" customHeight="false" outlineLevel="0" collapsed="false">
      <c r="A530" s="18" t="n">
        <v>133</v>
      </c>
      <c r="B530" s="18" t="s">
        <v>781</v>
      </c>
      <c r="C530" s="18" t="s">
        <v>760</v>
      </c>
      <c r="D530" s="18" t="s">
        <v>491</v>
      </c>
      <c r="E530" s="18" t="n">
        <v>0</v>
      </c>
      <c r="F530" s="18" t="n">
        <v>0</v>
      </c>
      <c r="G530" s="20" t="n">
        <v>-0.0781</v>
      </c>
      <c r="H530" s="20" t="n">
        <v>0.0073</v>
      </c>
      <c r="I530" s="28" t="n">
        <v>220.3</v>
      </c>
      <c r="J530" s="28" t="n">
        <v>1335.6</v>
      </c>
      <c r="K530" s="28" t="n">
        <v>156.1</v>
      </c>
      <c r="L530" s="18"/>
      <c r="M530" s="19" t="n">
        <v>2.523</v>
      </c>
      <c r="N530" s="28" t="n">
        <v>8.61</v>
      </c>
      <c r="O530" s="18" t="n">
        <v>34</v>
      </c>
      <c r="P530" s="18" t="n">
        <v>-1.75</v>
      </c>
      <c r="Q530" s="18" t="n">
        <v>-0.93</v>
      </c>
    </row>
    <row r="531" customFormat="false" ht="15" hidden="false" customHeight="false" outlineLevel="0" collapsed="false">
      <c r="A531" s="18" t="n">
        <v>133</v>
      </c>
      <c r="B531" s="18" t="s">
        <v>781</v>
      </c>
      <c r="C531" s="18" t="s">
        <v>760</v>
      </c>
      <c r="D531" s="18" t="s">
        <v>492</v>
      </c>
      <c r="E531" s="18" t="n">
        <v>1</v>
      </c>
      <c r="F531" s="18" t="n">
        <v>0</v>
      </c>
      <c r="G531" s="20" t="n">
        <v>-0.0663</v>
      </c>
      <c r="H531" s="20" t="n">
        <v>0.0066</v>
      </c>
      <c r="I531" s="28" t="n">
        <v>225.6</v>
      </c>
      <c r="J531" s="28" t="n">
        <v>1449.1</v>
      </c>
      <c r="K531" s="28" t="n">
        <v>162.6</v>
      </c>
      <c r="L531" s="29" t="n">
        <v>1.078</v>
      </c>
      <c r="M531" s="19" t="n">
        <v>0.88</v>
      </c>
      <c r="N531" s="28" t="n">
        <v>9.62</v>
      </c>
      <c r="O531" s="18" t="n">
        <v>34</v>
      </c>
      <c r="P531" s="18" t="n">
        <v>-1.75</v>
      </c>
      <c r="Q531" s="18" t="n">
        <v>-0.93</v>
      </c>
    </row>
    <row r="532" customFormat="false" ht="15" hidden="false" customHeight="false" outlineLevel="0" collapsed="false">
      <c r="A532" s="18" t="n">
        <v>133</v>
      </c>
      <c r="B532" s="18" t="s">
        <v>782</v>
      </c>
      <c r="C532" s="18" t="s">
        <v>760</v>
      </c>
      <c r="D532" s="18" t="s">
        <v>494</v>
      </c>
      <c r="E532" s="18" t="n">
        <v>0</v>
      </c>
      <c r="F532" s="18" t="n">
        <v>1</v>
      </c>
      <c r="G532" s="20" t="n">
        <v>0.1171</v>
      </c>
      <c r="H532" s="20" t="n">
        <v>0.0055</v>
      </c>
      <c r="I532" s="28" t="n">
        <v>220.2</v>
      </c>
      <c r="J532" s="28" t="n">
        <v>1331.6</v>
      </c>
      <c r="K532" s="28" t="n">
        <v>133</v>
      </c>
      <c r="L532" s="29" t="n">
        <v>1.979</v>
      </c>
      <c r="M532" s="19" t="n">
        <v>0.78</v>
      </c>
      <c r="N532" s="28" t="n">
        <v>8.72</v>
      </c>
      <c r="O532" s="18" t="n">
        <v>30</v>
      </c>
      <c r="P532" s="18" t="n">
        <v>-1.75</v>
      </c>
      <c r="Q532" s="18" t="n">
        <v>-0.93</v>
      </c>
    </row>
    <row r="533" customFormat="false" ht="15" hidden="false" customHeight="false" outlineLevel="0" collapsed="false">
      <c r="A533" s="18" t="n">
        <v>133</v>
      </c>
      <c r="B533" s="18" t="s">
        <v>782</v>
      </c>
      <c r="C533" s="18" t="s">
        <v>760</v>
      </c>
      <c r="D533" s="18" t="s">
        <v>495</v>
      </c>
      <c r="E533" s="18" t="n">
        <v>1</v>
      </c>
      <c r="F533" s="18" t="n">
        <v>1</v>
      </c>
      <c r="G533" s="20" t="n">
        <v>0.1004</v>
      </c>
      <c r="H533" s="20" t="n">
        <v>0.0061</v>
      </c>
      <c r="I533" s="28" t="n">
        <v>218.7</v>
      </c>
      <c r="J533" s="28" t="n">
        <v>1449.9</v>
      </c>
      <c r="K533" s="28" t="n">
        <v>133.4</v>
      </c>
      <c r="L533" s="29" t="n">
        <v>2.303</v>
      </c>
      <c r="M533" s="19" t="n">
        <v>0.785</v>
      </c>
      <c r="N533" s="28" t="n">
        <v>10.8</v>
      </c>
      <c r="O533" s="18" t="n">
        <v>30</v>
      </c>
      <c r="P533" s="18" t="n">
        <v>-1.75</v>
      </c>
      <c r="Q533" s="18" t="n">
        <v>-0.93</v>
      </c>
    </row>
    <row r="534" customFormat="false" ht="15" hidden="false" customHeight="false" outlineLevel="0" collapsed="false">
      <c r="A534" s="18" t="n">
        <v>134</v>
      </c>
      <c r="B534" s="18" t="s">
        <v>783</v>
      </c>
      <c r="C534" s="18" t="s">
        <v>776</v>
      </c>
      <c r="D534" s="18" t="s">
        <v>491</v>
      </c>
      <c r="E534" s="18" t="n">
        <v>0</v>
      </c>
      <c r="F534" s="18" t="n">
        <v>0</v>
      </c>
      <c r="G534" s="20" t="n">
        <v>-0.0906</v>
      </c>
      <c r="H534" s="20" t="n">
        <v>0.0091</v>
      </c>
      <c r="I534" s="28" t="n">
        <v>238.7</v>
      </c>
      <c r="J534" s="28" t="n">
        <v>1921.7</v>
      </c>
      <c r="K534" s="28" t="n">
        <v>159</v>
      </c>
      <c r="L534" s="29" t="n">
        <v>1.214</v>
      </c>
      <c r="M534" s="19" t="n">
        <v>1.309</v>
      </c>
      <c r="N534" s="28" t="n">
        <v>10.02</v>
      </c>
      <c r="O534" s="18" t="n">
        <v>33</v>
      </c>
      <c r="P534" s="18" t="n">
        <v>-2</v>
      </c>
      <c r="Q534" s="18" t="n">
        <v>-0.93</v>
      </c>
    </row>
    <row r="535" customFormat="false" ht="15" hidden="false" customHeight="false" outlineLevel="0" collapsed="false">
      <c r="A535" s="18" t="n">
        <v>134</v>
      </c>
      <c r="B535" s="18" t="s">
        <v>783</v>
      </c>
      <c r="C535" s="18" t="s">
        <v>776</v>
      </c>
      <c r="D535" s="18" t="s">
        <v>492</v>
      </c>
      <c r="E535" s="18" t="n">
        <v>1</v>
      </c>
      <c r="F535" s="18" t="n">
        <v>0</v>
      </c>
      <c r="G535" s="20" t="n">
        <v>-0.1011</v>
      </c>
      <c r="H535" s="20" t="n">
        <v>0.0066</v>
      </c>
      <c r="I535" s="28" t="n">
        <v>235.8</v>
      </c>
      <c r="J535" s="28" t="n">
        <v>2043.4</v>
      </c>
      <c r="K535" s="28" t="n">
        <v>150.6</v>
      </c>
      <c r="L535" s="29" t="n">
        <v>1.01</v>
      </c>
      <c r="M535" s="19" t="n">
        <v>1.83</v>
      </c>
      <c r="N535" s="28" t="n">
        <v>10.56</v>
      </c>
      <c r="O535" s="18" t="n">
        <v>33</v>
      </c>
      <c r="P535" s="18" t="n">
        <v>-2</v>
      </c>
      <c r="Q535" s="18" t="n">
        <v>-0.93</v>
      </c>
    </row>
    <row r="536" customFormat="false" ht="15" hidden="false" customHeight="false" outlineLevel="0" collapsed="false">
      <c r="A536" s="18" t="n">
        <v>134</v>
      </c>
      <c r="B536" s="18" t="s">
        <v>784</v>
      </c>
      <c r="C536" s="18" t="s">
        <v>776</v>
      </c>
      <c r="D536" s="18" t="s">
        <v>494</v>
      </c>
      <c r="E536" s="18" t="n">
        <v>0</v>
      </c>
      <c r="F536" s="18" t="n">
        <v>1</v>
      </c>
      <c r="G536" s="20" t="n">
        <v>0.1616</v>
      </c>
      <c r="H536" s="20" t="n">
        <v>0.0059</v>
      </c>
      <c r="I536" s="28" t="n">
        <v>244.5</v>
      </c>
      <c r="J536" s="28" t="n">
        <v>1918.1</v>
      </c>
      <c r="K536" s="28" t="n">
        <v>167.9</v>
      </c>
      <c r="L536" s="29" t="n">
        <v>2.064</v>
      </c>
      <c r="M536" s="19" t="n">
        <v>1.033</v>
      </c>
      <c r="N536" s="28" t="n">
        <v>10.77</v>
      </c>
      <c r="O536" s="18" t="n">
        <v>33</v>
      </c>
      <c r="P536" s="18" t="n">
        <v>-2</v>
      </c>
      <c r="Q536" s="18" t="n">
        <v>-0.93</v>
      </c>
    </row>
    <row r="537" customFormat="false" ht="15" hidden="false" customHeight="false" outlineLevel="0" collapsed="false">
      <c r="A537" s="18" t="n">
        <v>134</v>
      </c>
      <c r="B537" s="18" t="s">
        <v>784</v>
      </c>
      <c r="C537" s="18" t="s">
        <v>776</v>
      </c>
      <c r="D537" s="18" t="s">
        <v>495</v>
      </c>
      <c r="E537" s="18" t="n">
        <v>1</v>
      </c>
      <c r="F537" s="18" t="n">
        <v>1</v>
      </c>
      <c r="G537" s="20" t="n">
        <v>0.1415</v>
      </c>
      <c r="H537" s="20" t="n">
        <v>0.0102</v>
      </c>
      <c r="I537" s="28" t="n">
        <v>235.4</v>
      </c>
      <c r="J537" s="28" t="n">
        <v>2044.2</v>
      </c>
      <c r="K537" s="28" t="n">
        <v>180.4</v>
      </c>
      <c r="L537" s="29" t="n">
        <v>5.624</v>
      </c>
      <c r="M537" s="19" t="n">
        <v>0.681</v>
      </c>
      <c r="N537" s="28" t="n">
        <v>10.28</v>
      </c>
      <c r="O537" s="18" t="n">
        <v>33</v>
      </c>
      <c r="P537" s="18" t="n">
        <v>-2</v>
      </c>
      <c r="Q537" s="18" t="n">
        <v>-0.93</v>
      </c>
    </row>
    <row r="538" customFormat="false" ht="15" hidden="false" customHeight="false" outlineLevel="0" collapsed="false">
      <c r="A538" s="18" t="n">
        <v>135</v>
      </c>
      <c r="B538" s="18" t="s">
        <v>785</v>
      </c>
      <c r="C538" s="18" t="s">
        <v>634</v>
      </c>
      <c r="D538" s="18" t="s">
        <v>491</v>
      </c>
      <c r="E538" s="18" t="n">
        <v>0</v>
      </c>
      <c r="F538" s="18" t="n">
        <v>0</v>
      </c>
      <c r="G538" s="20" t="n">
        <v>-0.073</v>
      </c>
      <c r="H538" s="20" t="n">
        <v>0.0075</v>
      </c>
      <c r="I538" s="28" t="n">
        <v>230.4</v>
      </c>
      <c r="J538" s="28" t="n">
        <v>1336.5</v>
      </c>
      <c r="K538" s="28" t="n">
        <v>148.5</v>
      </c>
      <c r="L538" s="29" t="n">
        <v>0.626</v>
      </c>
      <c r="M538" s="19" t="n">
        <v>0.94</v>
      </c>
      <c r="N538" s="28" t="n">
        <v>10.97</v>
      </c>
      <c r="O538" s="18" t="n">
        <v>29</v>
      </c>
      <c r="P538" s="18" t="n">
        <v>-1.75</v>
      </c>
      <c r="Q538" s="18" t="n">
        <v>-0.93</v>
      </c>
    </row>
    <row r="539" customFormat="false" ht="15" hidden="false" customHeight="false" outlineLevel="0" collapsed="false">
      <c r="A539" s="18" t="n">
        <v>135</v>
      </c>
      <c r="B539" s="18" t="s">
        <v>785</v>
      </c>
      <c r="C539" s="18" t="s">
        <v>634</v>
      </c>
      <c r="D539" s="18" t="s">
        <v>492</v>
      </c>
      <c r="E539" s="18" t="n">
        <v>1</v>
      </c>
      <c r="F539" s="18" t="n">
        <v>0</v>
      </c>
      <c r="G539" s="20" t="n">
        <v>-0.0836</v>
      </c>
      <c r="H539" s="20" t="n">
        <v>0.0053</v>
      </c>
      <c r="I539" s="28" t="n">
        <v>220.1</v>
      </c>
      <c r="J539" s="28" t="n">
        <v>1452.4</v>
      </c>
      <c r="K539" s="28" t="n">
        <v>153.6</v>
      </c>
      <c r="L539" s="29" t="n">
        <v>3.649</v>
      </c>
      <c r="M539" s="19" t="n">
        <v>0.901</v>
      </c>
      <c r="N539" s="28" t="n">
        <v>8.52</v>
      </c>
      <c r="O539" s="18" t="n">
        <v>29</v>
      </c>
      <c r="P539" s="18" t="n">
        <v>-1.75</v>
      </c>
      <c r="Q539" s="18" t="n">
        <v>-0.93</v>
      </c>
    </row>
    <row r="540" customFormat="false" ht="15" hidden="false" customHeight="false" outlineLevel="0" collapsed="false">
      <c r="A540" s="18" t="n">
        <v>135</v>
      </c>
      <c r="B540" s="18" t="s">
        <v>786</v>
      </c>
      <c r="C540" s="18" t="s">
        <v>634</v>
      </c>
      <c r="D540" s="18" t="s">
        <v>494</v>
      </c>
      <c r="E540" s="18" t="n">
        <v>0</v>
      </c>
      <c r="F540" s="18" t="n">
        <v>1</v>
      </c>
      <c r="G540" s="20" t="n">
        <v>0.1255</v>
      </c>
      <c r="H540" s="20" t="n">
        <v>0.0098</v>
      </c>
      <c r="I540" s="28" t="n">
        <v>201</v>
      </c>
      <c r="J540" s="28" t="n">
        <v>1337.9</v>
      </c>
      <c r="K540" s="28" t="n">
        <v>157.8</v>
      </c>
      <c r="L540" s="18"/>
      <c r="M540" s="19" t="n">
        <v>1.586</v>
      </c>
      <c r="N540" s="28" t="n">
        <v>10</v>
      </c>
      <c r="O540" s="18" t="n">
        <v>33</v>
      </c>
      <c r="P540" s="18" t="n">
        <v>-1.75</v>
      </c>
      <c r="Q540" s="18" t="n">
        <v>-0.93</v>
      </c>
    </row>
    <row r="541" customFormat="false" ht="15" hidden="false" customHeight="false" outlineLevel="0" collapsed="false">
      <c r="A541" s="18" t="n">
        <v>135</v>
      </c>
      <c r="B541" s="18" t="s">
        <v>786</v>
      </c>
      <c r="C541" s="18" t="s">
        <v>634</v>
      </c>
      <c r="D541" s="18" t="s">
        <v>495</v>
      </c>
      <c r="E541" s="18" t="n">
        <v>1</v>
      </c>
      <c r="F541" s="18" t="n">
        <v>1</v>
      </c>
      <c r="G541" s="20" t="n">
        <v>0.1092</v>
      </c>
      <c r="H541" s="20" t="n">
        <v>0.0095</v>
      </c>
      <c r="I541" s="28" t="n">
        <v>229.1</v>
      </c>
      <c r="J541" s="28" t="n">
        <v>1452.7</v>
      </c>
      <c r="K541" s="28" t="n">
        <v>146</v>
      </c>
      <c r="L541" s="29" t="n">
        <v>1.891</v>
      </c>
      <c r="M541" s="19" t="n">
        <v>2.211</v>
      </c>
      <c r="N541" s="28" t="n">
        <v>9.18</v>
      </c>
      <c r="O541" s="18" t="n">
        <v>33</v>
      </c>
      <c r="P541" s="18" t="n">
        <v>-1.75</v>
      </c>
      <c r="Q541" s="18" t="n">
        <v>-0.93</v>
      </c>
    </row>
    <row r="542" customFormat="false" ht="15" hidden="false" customHeight="false" outlineLevel="0" collapsed="false">
      <c r="A542" s="18" t="n">
        <v>136</v>
      </c>
      <c r="B542" s="18" t="s">
        <v>787</v>
      </c>
      <c r="C542" s="18" t="s">
        <v>760</v>
      </c>
      <c r="D542" s="18" t="s">
        <v>491</v>
      </c>
      <c r="E542" s="18" t="n">
        <v>0</v>
      </c>
      <c r="F542" s="18" t="n">
        <v>0</v>
      </c>
      <c r="G542" s="20" t="n">
        <v>-0.078</v>
      </c>
      <c r="H542" s="20" t="n">
        <v>0.0054</v>
      </c>
      <c r="I542" s="28" t="n">
        <v>212.3</v>
      </c>
      <c r="J542" s="28" t="n">
        <v>1337.8</v>
      </c>
      <c r="K542" s="28" t="n">
        <v>144.2</v>
      </c>
      <c r="L542" s="29" t="n">
        <v>1.028</v>
      </c>
      <c r="M542" s="19" t="n">
        <v>0.924</v>
      </c>
      <c r="N542" s="28" t="n">
        <v>10.47</v>
      </c>
      <c r="O542" s="18" t="n">
        <v>33</v>
      </c>
      <c r="P542" s="18" t="n">
        <v>-1.75</v>
      </c>
      <c r="Q542" s="18" t="n">
        <v>-0.93</v>
      </c>
    </row>
    <row r="543" customFormat="false" ht="15" hidden="false" customHeight="false" outlineLevel="0" collapsed="false">
      <c r="A543" s="18" t="n">
        <v>136</v>
      </c>
      <c r="B543" s="18" t="s">
        <v>787</v>
      </c>
      <c r="C543" s="18" t="s">
        <v>760</v>
      </c>
      <c r="D543" s="18" t="s">
        <v>492</v>
      </c>
      <c r="E543" s="18" t="n">
        <v>1</v>
      </c>
      <c r="F543" s="18" t="n">
        <v>0</v>
      </c>
      <c r="G543" s="20" t="n">
        <v>-0.0668</v>
      </c>
      <c r="H543" s="20" t="n">
        <v>0.0074</v>
      </c>
      <c r="I543" s="28" t="n">
        <v>220.9</v>
      </c>
      <c r="J543" s="28" t="n">
        <v>1450.9</v>
      </c>
      <c r="K543" s="28" t="n">
        <v>158.1</v>
      </c>
      <c r="L543" s="29" t="n">
        <v>3.197</v>
      </c>
      <c r="M543" s="19" t="n">
        <v>0.865</v>
      </c>
      <c r="N543" s="28" t="n">
        <v>11.17</v>
      </c>
      <c r="O543" s="18" t="n">
        <v>33</v>
      </c>
      <c r="P543" s="18" t="n">
        <v>-1.75</v>
      </c>
      <c r="Q543" s="18" t="n">
        <v>-0.93</v>
      </c>
    </row>
    <row r="544" customFormat="false" ht="15" hidden="false" customHeight="false" outlineLevel="0" collapsed="false">
      <c r="A544" s="18" t="n">
        <v>136</v>
      </c>
      <c r="B544" s="18" t="s">
        <v>788</v>
      </c>
      <c r="C544" s="18" t="s">
        <v>760</v>
      </c>
      <c r="D544" s="18" t="s">
        <v>494</v>
      </c>
      <c r="E544" s="18" t="n">
        <v>0</v>
      </c>
      <c r="F544" s="18" t="n">
        <v>1</v>
      </c>
      <c r="G544" s="20" t="n">
        <v>0.1152</v>
      </c>
      <c r="H544" s="20" t="n">
        <v>0.0063</v>
      </c>
      <c r="I544" s="28" t="n">
        <v>228.7</v>
      </c>
      <c r="J544" s="28" t="n">
        <v>1334.7</v>
      </c>
      <c r="K544" s="28" t="n">
        <v>180.7</v>
      </c>
      <c r="L544" s="18"/>
      <c r="M544" s="19" t="n">
        <v>0.83</v>
      </c>
      <c r="N544" s="28" t="n">
        <v>10.17</v>
      </c>
      <c r="O544" s="18" t="n">
        <v>34</v>
      </c>
      <c r="P544" s="18" t="n">
        <v>-1.75</v>
      </c>
      <c r="Q544" s="18" t="n">
        <v>-0.93</v>
      </c>
    </row>
    <row r="545" customFormat="false" ht="15" hidden="false" customHeight="false" outlineLevel="0" collapsed="false">
      <c r="A545" s="18" t="n">
        <v>136</v>
      </c>
      <c r="B545" s="18" t="s">
        <v>788</v>
      </c>
      <c r="C545" s="18" t="s">
        <v>760</v>
      </c>
      <c r="D545" s="18" t="s">
        <v>495</v>
      </c>
      <c r="E545" s="18" t="n">
        <v>1</v>
      </c>
      <c r="F545" s="18" t="n">
        <v>1</v>
      </c>
      <c r="G545" s="20" t="n">
        <v>0.0938</v>
      </c>
      <c r="H545" s="20" t="n">
        <v>0.006</v>
      </c>
      <c r="I545" s="28" t="n">
        <v>230.9</v>
      </c>
      <c r="J545" s="28" t="n">
        <v>1449</v>
      </c>
      <c r="K545" s="28" t="n">
        <v>186.6</v>
      </c>
      <c r="L545" s="29" t="n">
        <v>2.492</v>
      </c>
      <c r="M545" s="19" t="n">
        <v>1.245</v>
      </c>
      <c r="N545" s="28" t="n">
        <v>9.31</v>
      </c>
      <c r="O545" s="18" t="n">
        <v>34</v>
      </c>
      <c r="P545" s="18" t="n">
        <v>-1.75</v>
      </c>
      <c r="Q545" s="18" t="n">
        <v>-0.93</v>
      </c>
    </row>
    <row r="546" customFormat="false" ht="15" hidden="false" customHeight="false" outlineLevel="0" collapsed="false">
      <c r="A546" s="18" t="n">
        <v>137</v>
      </c>
      <c r="B546" s="18" t="s">
        <v>789</v>
      </c>
      <c r="C546" s="18" t="s">
        <v>779</v>
      </c>
      <c r="D546" s="18" t="s">
        <v>491</v>
      </c>
      <c r="E546" s="18" t="n">
        <v>0</v>
      </c>
      <c r="F546" s="18" t="n">
        <v>0</v>
      </c>
      <c r="G546" s="20" t="n">
        <v>-0.0491</v>
      </c>
      <c r="H546" s="20" t="n">
        <v>0.0086</v>
      </c>
      <c r="I546" s="28" t="n">
        <v>212.8</v>
      </c>
      <c r="J546" s="28" t="n">
        <v>873.8</v>
      </c>
      <c r="K546" s="28" t="n">
        <v>135.5</v>
      </c>
      <c r="L546" s="18"/>
      <c r="M546" s="19" t="n">
        <v>1.307</v>
      </c>
      <c r="N546" s="28" t="n">
        <v>9.16</v>
      </c>
      <c r="O546" s="18" t="n">
        <v>30</v>
      </c>
      <c r="P546" s="18" t="n">
        <v>-1.5</v>
      </c>
      <c r="Q546" s="18" t="n">
        <v>-0.93</v>
      </c>
    </row>
    <row r="547" customFormat="false" ht="15" hidden="false" customHeight="false" outlineLevel="0" collapsed="false">
      <c r="A547" s="18" t="n">
        <v>137</v>
      </c>
      <c r="B547" s="18" t="s">
        <v>789</v>
      </c>
      <c r="C547" s="18" t="s">
        <v>779</v>
      </c>
      <c r="D547" s="18" t="s">
        <v>492</v>
      </c>
      <c r="E547" s="18" t="n">
        <v>1</v>
      </c>
      <c r="F547" s="18" t="n">
        <v>0</v>
      </c>
      <c r="G547" s="20" t="n">
        <v>-0.0669</v>
      </c>
      <c r="H547" s="20" t="n">
        <v>0.0079</v>
      </c>
      <c r="I547" s="28" t="n">
        <v>227.1</v>
      </c>
      <c r="J547" s="28" t="n">
        <v>982.6</v>
      </c>
      <c r="K547" s="28" t="n">
        <v>129.1</v>
      </c>
      <c r="L547" s="29" t="n">
        <v>2.895</v>
      </c>
      <c r="M547" s="19" t="n">
        <v>0.87</v>
      </c>
      <c r="N547" s="28" t="n">
        <v>10.18</v>
      </c>
      <c r="O547" s="18" t="n">
        <v>30</v>
      </c>
      <c r="P547" s="18" t="n">
        <v>-1.5</v>
      </c>
      <c r="Q547" s="18" t="n">
        <v>-0.93</v>
      </c>
    </row>
    <row r="548" customFormat="false" ht="15" hidden="false" customHeight="false" outlineLevel="0" collapsed="false">
      <c r="A548" s="18" t="n">
        <v>137</v>
      </c>
      <c r="B548" s="18" t="s">
        <v>790</v>
      </c>
      <c r="C548" s="18" t="s">
        <v>779</v>
      </c>
      <c r="D548" s="18" t="s">
        <v>494</v>
      </c>
      <c r="E548" s="18" t="n">
        <v>0</v>
      </c>
      <c r="F548" s="18" t="n">
        <v>1</v>
      </c>
      <c r="G548" s="20" t="n">
        <v>0.076</v>
      </c>
      <c r="H548" s="20" t="n">
        <v>0.0083</v>
      </c>
      <c r="I548" s="28" t="n">
        <v>207</v>
      </c>
      <c r="J548" s="28" t="n">
        <v>871.1</v>
      </c>
      <c r="K548" s="28" t="n">
        <v>134.9</v>
      </c>
      <c r="L548" s="18"/>
      <c r="M548" s="19" t="n">
        <v>2.271</v>
      </c>
      <c r="N548" s="28" t="n">
        <v>9.4</v>
      </c>
      <c r="O548" s="18" t="n">
        <v>31</v>
      </c>
      <c r="P548" s="18" t="n">
        <v>-1.5</v>
      </c>
      <c r="Q548" s="18" t="n">
        <v>-0.93</v>
      </c>
    </row>
    <row r="549" customFormat="false" ht="15" hidden="false" customHeight="false" outlineLevel="0" collapsed="false">
      <c r="A549" s="18" t="n">
        <v>137</v>
      </c>
      <c r="B549" s="18" t="s">
        <v>790</v>
      </c>
      <c r="C549" s="18" t="s">
        <v>779</v>
      </c>
      <c r="D549" s="18" t="s">
        <v>495</v>
      </c>
      <c r="E549" s="18" t="n">
        <v>1</v>
      </c>
      <c r="F549" s="18" t="n">
        <v>1</v>
      </c>
      <c r="G549" s="20" t="n">
        <v>0.066</v>
      </c>
      <c r="H549" s="20" t="n">
        <v>0.0078</v>
      </c>
      <c r="I549" s="28" t="n">
        <v>209.4</v>
      </c>
      <c r="J549" s="28" t="n">
        <v>979.5</v>
      </c>
      <c r="K549" s="28" t="n">
        <v>148.5</v>
      </c>
      <c r="L549" s="18"/>
      <c r="M549" s="19" t="n">
        <v>0.927</v>
      </c>
      <c r="N549" s="28" t="n">
        <v>8.67</v>
      </c>
      <c r="O549" s="18" t="n">
        <v>31</v>
      </c>
      <c r="P549" s="18" t="n">
        <v>-1.5</v>
      </c>
      <c r="Q549" s="18" t="n">
        <v>-0.93</v>
      </c>
    </row>
    <row r="550" customFormat="false" ht="15" hidden="false" customHeight="false" outlineLevel="0" collapsed="false">
      <c r="A550" s="18" t="n">
        <v>138</v>
      </c>
      <c r="B550" s="18" t="s">
        <v>791</v>
      </c>
      <c r="C550" s="18" t="s">
        <v>672</v>
      </c>
      <c r="D550" s="18" t="s">
        <v>491</v>
      </c>
      <c r="E550" s="18" t="n">
        <v>0</v>
      </c>
      <c r="F550" s="18" t="n">
        <v>0</v>
      </c>
      <c r="G550" s="20" t="n">
        <v>-0.0882</v>
      </c>
      <c r="H550" s="20" t="n">
        <v>0.0041</v>
      </c>
      <c r="I550" s="28" t="n">
        <v>244.6</v>
      </c>
      <c r="J550" s="28" t="n">
        <v>1922.6</v>
      </c>
      <c r="K550" s="28" t="n">
        <v>154.4</v>
      </c>
      <c r="L550" s="18"/>
      <c r="M550" s="19" t="n">
        <v>0.97</v>
      </c>
      <c r="N550" s="28" t="n">
        <v>10.09</v>
      </c>
      <c r="O550" s="18" t="n">
        <v>33</v>
      </c>
      <c r="P550" s="18" t="n">
        <v>-2</v>
      </c>
      <c r="Q550" s="18" t="n">
        <v>-0.93</v>
      </c>
    </row>
    <row r="551" customFormat="false" ht="15" hidden="false" customHeight="false" outlineLevel="0" collapsed="false">
      <c r="A551" s="18" t="n">
        <v>138</v>
      </c>
      <c r="B551" s="18" t="s">
        <v>791</v>
      </c>
      <c r="C551" s="18" t="s">
        <v>672</v>
      </c>
      <c r="D551" s="18" t="s">
        <v>492</v>
      </c>
      <c r="E551" s="18" t="n">
        <v>1</v>
      </c>
      <c r="F551" s="18" t="n">
        <v>0</v>
      </c>
      <c r="G551" s="20" t="n">
        <v>-0.0882</v>
      </c>
      <c r="H551" s="20" t="n">
        <v>0.0045</v>
      </c>
      <c r="I551" s="28" t="n">
        <v>234.4</v>
      </c>
      <c r="J551" s="28" t="n">
        <v>2045.4</v>
      </c>
      <c r="K551" s="28" t="n">
        <v>150.3</v>
      </c>
      <c r="L551" s="29" t="n">
        <v>2.289</v>
      </c>
      <c r="M551" s="19" t="n">
        <v>0.968</v>
      </c>
      <c r="N551" s="28" t="n">
        <v>10.96</v>
      </c>
      <c r="O551" s="18" t="n">
        <v>33</v>
      </c>
      <c r="P551" s="18" t="n">
        <v>-2</v>
      </c>
      <c r="Q551" s="18" t="n">
        <v>-0.93</v>
      </c>
    </row>
    <row r="552" customFormat="false" ht="15" hidden="false" customHeight="false" outlineLevel="0" collapsed="false">
      <c r="A552" s="18" t="n">
        <v>138</v>
      </c>
      <c r="B552" s="18" t="s">
        <v>792</v>
      </c>
      <c r="C552" s="18" t="s">
        <v>672</v>
      </c>
      <c r="D552" s="18" t="s">
        <v>494</v>
      </c>
      <c r="E552" s="18" t="n">
        <v>0</v>
      </c>
      <c r="F552" s="18" t="n">
        <v>1</v>
      </c>
      <c r="G552" s="20" t="n">
        <v>0.1428</v>
      </c>
      <c r="H552" s="20" t="n">
        <v>0.0073</v>
      </c>
      <c r="I552" s="28" t="n">
        <v>231.7</v>
      </c>
      <c r="J552" s="28" t="n">
        <v>1920.5</v>
      </c>
      <c r="K552" s="28" t="n">
        <v>176.1</v>
      </c>
      <c r="L552" s="29" t="n">
        <v>2.508</v>
      </c>
      <c r="M552" s="19" t="n">
        <v>0.944</v>
      </c>
      <c r="N552" s="28" t="n">
        <v>11.98</v>
      </c>
      <c r="O552" s="18" t="n">
        <v>33</v>
      </c>
      <c r="P552" s="18" t="n">
        <v>-2</v>
      </c>
      <c r="Q552" s="18" t="n">
        <v>-0.93</v>
      </c>
    </row>
    <row r="553" customFormat="false" ht="15" hidden="false" customHeight="false" outlineLevel="0" collapsed="false">
      <c r="A553" s="18" t="n">
        <v>138</v>
      </c>
      <c r="B553" s="18" t="s">
        <v>792</v>
      </c>
      <c r="C553" s="18" t="s">
        <v>672</v>
      </c>
      <c r="D553" s="18" t="s">
        <v>495</v>
      </c>
      <c r="E553" s="18" t="n">
        <v>1</v>
      </c>
      <c r="F553" s="18" t="n">
        <v>1</v>
      </c>
      <c r="G553" s="20" t="n">
        <v>0.1469</v>
      </c>
      <c r="H553" s="20" t="n">
        <v>0.007</v>
      </c>
      <c r="I553" s="28" t="n">
        <v>239.4</v>
      </c>
      <c r="J553" s="28" t="n">
        <v>2040.8</v>
      </c>
      <c r="K553" s="28" t="n">
        <v>188.5</v>
      </c>
      <c r="L553" s="29" t="n">
        <v>1.176</v>
      </c>
      <c r="M553" s="19" t="n">
        <v>0.869</v>
      </c>
      <c r="N553" s="28" t="n">
        <v>11.14</v>
      </c>
      <c r="O553" s="18" t="n">
        <v>33</v>
      </c>
      <c r="P553" s="18" t="n">
        <v>-2</v>
      </c>
      <c r="Q553" s="18" t="n">
        <v>-0.93</v>
      </c>
    </row>
    <row r="555" customFormat="false" ht="15" hidden="false" customHeight="false" outlineLevel="0" collapsed="false">
      <c r="A555" s="16" t="s">
        <v>793</v>
      </c>
    </row>
  </sheetData>
  <autoFilter ref="A1:Q5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5"/>
    <col collapsed="false" customWidth="true" hidden="false" outlineLevel="0" max="17" min="5" style="0" width="9"/>
  </cols>
  <sheetData>
    <row r="1" customFormat="false" ht="15" hidden="false" customHeight="false" outlineLevel="0" collapsed="false">
      <c r="A1" s="10" t="s">
        <v>794</v>
      </c>
    </row>
    <row r="3" customFormat="false" ht="41" hidden="false" customHeight="false" outlineLevel="0" collapsed="false">
      <c r="A3" s="17" t="s">
        <v>795</v>
      </c>
      <c r="B3" s="17" t="s">
        <v>796</v>
      </c>
      <c r="C3" s="17" t="s">
        <v>797</v>
      </c>
      <c r="D3" s="17" t="s">
        <v>478</v>
      </c>
      <c r="E3" s="17" t="s">
        <v>798</v>
      </c>
      <c r="F3" s="17" t="s">
        <v>799</v>
      </c>
      <c r="G3" s="6" t="s">
        <v>800</v>
      </c>
      <c r="H3" s="17" t="s">
        <v>801</v>
      </c>
      <c r="I3" s="6" t="s">
        <v>802</v>
      </c>
      <c r="J3" s="17" t="s">
        <v>803</v>
      </c>
      <c r="K3" s="17" t="s">
        <v>804</v>
      </c>
      <c r="L3" s="17" t="s">
        <v>805</v>
      </c>
      <c r="M3" s="6" t="s">
        <v>806</v>
      </c>
    </row>
    <row r="4" customFormat="false" ht="15" hidden="false" customHeight="false" outlineLevel="0" collapsed="false">
      <c r="A4" s="18" t="n">
        <v>0</v>
      </c>
      <c r="B4" s="19" t="n">
        <v>0.0479</v>
      </c>
      <c r="C4" s="19" t="n">
        <v>-0.2246</v>
      </c>
      <c r="D4" s="18" t="n">
        <v>0</v>
      </c>
      <c r="E4" s="28" t="n">
        <v>1362.33</v>
      </c>
      <c r="F4" s="28" t="n">
        <v>1368.63</v>
      </c>
      <c r="G4" s="28" t="n">
        <v>-6.29</v>
      </c>
      <c r="H4" s="28" t="n">
        <v>1369.21</v>
      </c>
      <c r="I4" s="28" t="n">
        <v>-6.87</v>
      </c>
      <c r="J4" s="28" t="n">
        <v>22.75</v>
      </c>
      <c r="K4" s="28" t="n">
        <v>29.04</v>
      </c>
      <c r="L4" s="20" t="n">
        <v>29.039</v>
      </c>
      <c r="M4" s="28" t="n">
        <v>8.14</v>
      </c>
    </row>
    <row r="5" customFormat="false" ht="15" hidden="false" customHeight="false" outlineLevel="0" collapsed="false">
      <c r="A5" s="18" t="n">
        <v>0</v>
      </c>
      <c r="B5" s="19" t="n">
        <v>0.0479</v>
      </c>
      <c r="C5" s="19" t="n">
        <v>-0.2246</v>
      </c>
      <c r="D5" s="18" t="n">
        <v>1</v>
      </c>
      <c r="E5" s="28" t="n">
        <v>1480</v>
      </c>
      <c r="F5" s="28" t="n">
        <v>1482.53</v>
      </c>
      <c r="G5" s="28" t="n">
        <v>-2.53</v>
      </c>
      <c r="H5" s="28" t="n">
        <v>1485.94</v>
      </c>
      <c r="I5" s="28" t="n">
        <v>-5.94</v>
      </c>
      <c r="J5" s="28" t="n">
        <v>22.46</v>
      </c>
      <c r="K5" s="28" t="n">
        <v>24.99</v>
      </c>
      <c r="L5" s="20" t="n">
        <v>24.99</v>
      </c>
      <c r="M5" s="28" t="n">
        <v>4.58</v>
      </c>
    </row>
    <row r="6" customFormat="false" ht="15" hidden="false" customHeight="false" outlineLevel="0" collapsed="false">
      <c r="A6" s="18" t="n">
        <v>1</v>
      </c>
      <c r="B6" s="19" t="n">
        <v>0.23</v>
      </c>
      <c r="C6" s="19" t="n">
        <v>0.1221</v>
      </c>
      <c r="D6" s="18" t="n">
        <v>0</v>
      </c>
      <c r="E6" s="28" t="n">
        <v>1353.67</v>
      </c>
      <c r="F6" s="28" t="n">
        <v>1361.04</v>
      </c>
      <c r="G6" s="28" t="n">
        <v>-7.38</v>
      </c>
      <c r="H6" s="28" t="n">
        <v>1372.05</v>
      </c>
      <c r="I6" s="28" t="n">
        <v>-18.39</v>
      </c>
      <c r="J6" s="28" t="n">
        <v>14.08</v>
      </c>
      <c r="K6" s="28" t="n">
        <v>21.46</v>
      </c>
      <c r="L6" s="20" t="n">
        <v>21.456</v>
      </c>
      <c r="M6" s="28" t="n">
        <v>4.62</v>
      </c>
    </row>
    <row r="7" customFormat="false" ht="15" hidden="false" customHeight="false" outlineLevel="0" collapsed="false">
      <c r="A7" s="18" t="n">
        <v>1</v>
      </c>
      <c r="B7" s="19" t="n">
        <v>0.23</v>
      </c>
      <c r="C7" s="19" t="n">
        <v>0.1221</v>
      </c>
      <c r="D7" s="18" t="n">
        <v>1</v>
      </c>
      <c r="E7" s="28" t="n">
        <v>1482.67</v>
      </c>
      <c r="F7" s="28" t="n">
        <v>1476.99</v>
      </c>
      <c r="G7" s="28" t="n">
        <v>5.67</v>
      </c>
      <c r="H7" s="28" t="n">
        <v>1471.14</v>
      </c>
      <c r="I7" s="28" t="n">
        <v>11.52</v>
      </c>
      <c r="J7" s="28" t="n">
        <v>25.12</v>
      </c>
      <c r="K7" s="28" t="n">
        <v>19.45</v>
      </c>
      <c r="L7" s="20" t="n">
        <v>19.449</v>
      </c>
      <c r="M7" s="28" t="n">
        <v>10.41</v>
      </c>
    </row>
    <row r="8" customFormat="false" ht="15" hidden="false" customHeight="false" outlineLevel="0" collapsed="false">
      <c r="A8" s="18" t="n">
        <v>2</v>
      </c>
      <c r="B8" s="19" t="n">
        <v>0.4829</v>
      </c>
      <c r="C8" s="19" t="n">
        <v>-0.4599</v>
      </c>
      <c r="D8" s="18" t="n">
        <v>0</v>
      </c>
      <c r="E8" s="28" t="n">
        <v>1490</v>
      </c>
      <c r="F8" s="28" t="n">
        <v>1483.96</v>
      </c>
      <c r="G8" s="28" t="n">
        <v>6.04</v>
      </c>
      <c r="H8" s="28" t="n">
        <v>1490.69</v>
      </c>
      <c r="I8" s="28" t="n">
        <v>-0.69</v>
      </c>
      <c r="J8" s="28" t="n">
        <v>150.41</v>
      </c>
      <c r="K8" s="28" t="n">
        <v>144.37</v>
      </c>
      <c r="L8" s="20" t="n">
        <v>144.374</v>
      </c>
      <c r="M8" s="28" t="n">
        <v>4.36</v>
      </c>
    </row>
    <row r="9" customFormat="false" ht="15" hidden="false" customHeight="false" outlineLevel="0" collapsed="false">
      <c r="A9" s="18" t="n">
        <v>2</v>
      </c>
      <c r="B9" s="19" t="n">
        <v>0.4829</v>
      </c>
      <c r="C9" s="19" t="n">
        <v>-0.4599</v>
      </c>
      <c r="D9" s="18" t="n">
        <v>1</v>
      </c>
      <c r="E9" s="28" t="n">
        <v>1595</v>
      </c>
      <c r="F9" s="28" t="n">
        <v>1589.17</v>
      </c>
      <c r="G9" s="28" t="n">
        <v>5.83</v>
      </c>
      <c r="H9" s="28" t="n">
        <v>1593.43</v>
      </c>
      <c r="I9" s="28" t="n">
        <v>1.57</v>
      </c>
      <c r="J9" s="28" t="n">
        <v>137.46</v>
      </c>
      <c r="K9" s="28" t="n">
        <v>131.63</v>
      </c>
      <c r="L9" s="20" t="n">
        <v>131.63</v>
      </c>
      <c r="M9" s="28" t="n">
        <v>4.58</v>
      </c>
    </row>
    <row r="10" customFormat="false" ht="15" hidden="false" customHeight="false" outlineLevel="0" collapsed="false">
      <c r="A10" s="18" t="n">
        <v>3</v>
      </c>
      <c r="B10" s="19" t="n">
        <v>0.2532</v>
      </c>
      <c r="C10" s="19" t="n">
        <v>-0.2847</v>
      </c>
      <c r="D10" s="18" t="n">
        <v>0</v>
      </c>
      <c r="E10" s="28" t="n">
        <v>1407.67</v>
      </c>
      <c r="F10" s="28" t="n">
        <v>1399.71</v>
      </c>
      <c r="G10" s="28" t="n">
        <v>7.96</v>
      </c>
      <c r="H10" s="28" t="n">
        <v>1409.01</v>
      </c>
      <c r="I10" s="28" t="n">
        <v>-1.35</v>
      </c>
      <c r="J10" s="28" t="n">
        <v>68.08</v>
      </c>
      <c r="K10" s="28" t="n">
        <v>60.12</v>
      </c>
      <c r="L10" s="20" t="n">
        <v>60.123</v>
      </c>
      <c r="M10" s="28" t="n">
        <v>7.09</v>
      </c>
    </row>
    <row r="11" customFormat="false" ht="15" hidden="false" customHeight="false" outlineLevel="0" collapsed="false">
      <c r="A11" s="18" t="n">
        <v>3</v>
      </c>
      <c r="B11" s="19" t="n">
        <v>0.2532</v>
      </c>
      <c r="C11" s="19" t="n">
        <v>-0.2847</v>
      </c>
      <c r="D11" s="18" t="n">
        <v>1</v>
      </c>
      <c r="E11" s="28" t="n">
        <v>1515</v>
      </c>
      <c r="F11" s="28" t="n">
        <v>1510.92</v>
      </c>
      <c r="G11" s="28" t="n">
        <v>4.08</v>
      </c>
      <c r="H11" s="28" t="n">
        <v>1501.86</v>
      </c>
      <c r="I11" s="28" t="n">
        <v>13.14</v>
      </c>
      <c r="J11" s="28" t="n">
        <v>57.46</v>
      </c>
      <c r="K11" s="28" t="n">
        <v>53.37</v>
      </c>
      <c r="L11" s="20" t="n">
        <v>53.372</v>
      </c>
      <c r="M11" s="28" t="n">
        <v>11.36</v>
      </c>
    </row>
    <row r="12" customFormat="false" ht="15" hidden="false" customHeight="false" outlineLevel="0" collapsed="false">
      <c r="A12" s="18" t="n">
        <v>4</v>
      </c>
      <c r="B12" s="19" t="n">
        <v>-0.3579</v>
      </c>
      <c r="C12" s="19" t="n">
        <v>0.7047</v>
      </c>
      <c r="D12" s="18" t="n">
        <v>0</v>
      </c>
      <c r="E12" s="28" t="n">
        <v>1440.67</v>
      </c>
      <c r="F12" s="28" t="n">
        <v>1433.51</v>
      </c>
      <c r="G12" s="28" t="n">
        <v>7.16</v>
      </c>
      <c r="H12" s="28" t="n">
        <v>1454.18</v>
      </c>
      <c r="I12" s="28" t="n">
        <v>-13.51</v>
      </c>
      <c r="J12" s="28" t="n">
        <v>101.08</v>
      </c>
      <c r="K12" s="28" t="n">
        <v>93.92</v>
      </c>
      <c r="L12" s="20" t="n">
        <v>93.923</v>
      </c>
      <c r="M12" s="28" t="n">
        <v>7.77</v>
      </c>
    </row>
    <row r="13" customFormat="false" ht="15" hidden="false" customHeight="false" outlineLevel="0" collapsed="false">
      <c r="A13" s="18" t="n">
        <v>4</v>
      </c>
      <c r="B13" s="19" t="n">
        <v>-0.3579</v>
      </c>
      <c r="C13" s="19" t="n">
        <v>0.7047</v>
      </c>
      <c r="D13" s="18" t="n">
        <v>1</v>
      </c>
      <c r="E13" s="28" t="n">
        <v>1563.33</v>
      </c>
      <c r="F13" s="28" t="n">
        <v>1558.28</v>
      </c>
      <c r="G13" s="28" t="n">
        <v>5.06</v>
      </c>
      <c r="H13" s="28" t="n">
        <v>1558.23</v>
      </c>
      <c r="I13" s="28" t="n">
        <v>5.11</v>
      </c>
      <c r="J13" s="28" t="n">
        <v>105.79</v>
      </c>
      <c r="K13" s="28" t="n">
        <v>100.73</v>
      </c>
      <c r="L13" s="20" t="n">
        <v>100.732</v>
      </c>
      <c r="M13" s="28" t="n">
        <v>12.01</v>
      </c>
    </row>
    <row r="14" customFormat="false" ht="15" hidden="false" customHeight="false" outlineLevel="0" collapsed="false">
      <c r="A14" s="18" t="n">
        <v>5</v>
      </c>
      <c r="B14" s="19" t="n">
        <v>-0.5979</v>
      </c>
      <c r="C14" s="19" t="n">
        <v>0.1945</v>
      </c>
      <c r="D14" s="18" t="n">
        <v>0</v>
      </c>
      <c r="E14" s="28" t="n">
        <v>1397.33</v>
      </c>
      <c r="F14" s="28" t="n">
        <v>1403.26</v>
      </c>
      <c r="G14" s="28" t="n">
        <v>-5.92</v>
      </c>
      <c r="H14" s="28" t="n">
        <v>1407.36</v>
      </c>
      <c r="I14" s="28" t="n">
        <v>-10.02</v>
      </c>
      <c r="J14" s="28" t="n">
        <v>57.75</v>
      </c>
      <c r="K14" s="28" t="n">
        <v>63.67</v>
      </c>
      <c r="L14" s="20" t="n">
        <v>63.671</v>
      </c>
      <c r="M14" s="28" t="n">
        <v>4.62</v>
      </c>
    </row>
    <row r="15" customFormat="false" ht="15" hidden="false" customHeight="false" outlineLevel="0" collapsed="false">
      <c r="A15" s="18" t="n">
        <v>5</v>
      </c>
      <c r="B15" s="19" t="n">
        <v>-0.5979</v>
      </c>
      <c r="C15" s="19" t="n">
        <v>0.1945</v>
      </c>
      <c r="D15" s="18" t="n">
        <v>1</v>
      </c>
      <c r="E15" s="28" t="n">
        <v>1519.33</v>
      </c>
      <c r="F15" s="28" t="n">
        <v>1517.46</v>
      </c>
      <c r="G15" s="28" t="n">
        <v>1.87</v>
      </c>
      <c r="H15" s="28" t="n">
        <v>1521.18</v>
      </c>
      <c r="I15" s="28" t="n">
        <v>-1.85</v>
      </c>
      <c r="J15" s="28" t="n">
        <v>61.79</v>
      </c>
      <c r="K15" s="28" t="n">
        <v>59.92</v>
      </c>
      <c r="L15" s="20" t="n">
        <v>59.917</v>
      </c>
      <c r="M15" s="28" t="n">
        <v>15.04</v>
      </c>
    </row>
    <row r="16" customFormat="false" ht="15" hidden="false" customHeight="false" outlineLevel="0" collapsed="false">
      <c r="A16" s="18" t="n">
        <v>6</v>
      </c>
      <c r="B16" s="19" t="n">
        <v>-0.7216</v>
      </c>
      <c r="C16" s="19" t="n">
        <v>-0.6018</v>
      </c>
      <c r="D16" s="18" t="n">
        <v>0</v>
      </c>
      <c r="E16" s="28" t="n">
        <v>1548</v>
      </c>
      <c r="F16" s="28" t="n">
        <v>1548.09</v>
      </c>
      <c r="G16" s="28" t="n">
        <v>-0.09</v>
      </c>
      <c r="H16" s="28" t="n">
        <v>1542.77</v>
      </c>
      <c r="I16" s="28" t="n">
        <v>5.23</v>
      </c>
      <c r="J16" s="28" t="n">
        <v>208.41</v>
      </c>
      <c r="K16" s="28" t="n">
        <v>208.5</v>
      </c>
      <c r="L16" s="20" t="n">
        <v>208.502</v>
      </c>
      <c r="M16" s="28" t="n">
        <v>10.44</v>
      </c>
    </row>
    <row r="17" customFormat="false" ht="15" hidden="false" customHeight="false" outlineLevel="0" collapsed="false">
      <c r="A17" s="18" t="n">
        <v>6</v>
      </c>
      <c r="B17" s="19" t="n">
        <v>-0.7216</v>
      </c>
      <c r="C17" s="19" t="n">
        <v>-0.6018</v>
      </c>
      <c r="D17" s="18" t="n">
        <v>1</v>
      </c>
      <c r="E17" s="28" t="n">
        <v>1651</v>
      </c>
      <c r="F17" s="28" t="n">
        <v>1651.4</v>
      </c>
      <c r="G17" s="28" t="n">
        <v>-0.4</v>
      </c>
      <c r="H17" s="28" t="n">
        <v>1654.17</v>
      </c>
      <c r="I17" s="28" t="n">
        <v>-3.17</v>
      </c>
      <c r="J17" s="28" t="n">
        <v>193.46</v>
      </c>
      <c r="K17" s="28" t="n">
        <v>193.85</v>
      </c>
      <c r="L17" s="20" t="n">
        <v>193.852</v>
      </c>
      <c r="M17" s="28" t="n">
        <v>4.36</v>
      </c>
    </row>
    <row r="18" customFormat="false" ht="15" hidden="false" customHeight="false" outlineLevel="0" collapsed="false">
      <c r="A18" s="18" t="n">
        <v>7</v>
      </c>
      <c r="B18" s="19" t="n">
        <v>0.4958</v>
      </c>
      <c r="C18" s="19" t="n">
        <v>-0.2991</v>
      </c>
      <c r="D18" s="18" t="n">
        <v>0</v>
      </c>
      <c r="E18" s="28" t="n">
        <v>1456.67</v>
      </c>
      <c r="F18" s="28" t="n">
        <v>1452.34</v>
      </c>
      <c r="G18" s="28" t="n">
        <v>4.32</v>
      </c>
      <c r="H18" s="28" t="n">
        <v>1461.05</v>
      </c>
      <c r="I18" s="28" t="n">
        <v>-4.39</v>
      </c>
      <c r="J18" s="28" t="n">
        <v>117.08</v>
      </c>
      <c r="K18" s="28" t="n">
        <v>112.76</v>
      </c>
      <c r="L18" s="20" t="n">
        <v>112.755</v>
      </c>
      <c r="M18" s="28" t="n">
        <v>16.29</v>
      </c>
    </row>
    <row r="19" customFormat="false" ht="15" hidden="false" customHeight="false" outlineLevel="0" collapsed="false">
      <c r="A19" s="18" t="n">
        <v>7</v>
      </c>
      <c r="B19" s="19" t="n">
        <v>0.4958</v>
      </c>
      <c r="C19" s="19" t="n">
        <v>-0.2991</v>
      </c>
      <c r="D19" s="18" t="n">
        <v>1</v>
      </c>
      <c r="E19" s="28" t="n">
        <v>1554</v>
      </c>
      <c r="F19" s="28" t="n">
        <v>1558.74</v>
      </c>
      <c r="G19" s="28" t="n">
        <v>-4.74</v>
      </c>
      <c r="H19" s="28" t="n">
        <v>1560.72</v>
      </c>
      <c r="I19" s="28" t="n">
        <v>-6.72</v>
      </c>
      <c r="J19" s="28" t="n">
        <v>96.46</v>
      </c>
      <c r="K19" s="28" t="n">
        <v>101.2</v>
      </c>
      <c r="L19" s="20" t="n">
        <v>101.199</v>
      </c>
      <c r="M19" s="28" t="n">
        <v>5.29</v>
      </c>
    </row>
    <row r="20" customFormat="false" ht="15" hidden="false" customHeight="false" outlineLevel="0" collapsed="false">
      <c r="A20" s="18" t="n">
        <v>8</v>
      </c>
      <c r="B20" s="19" t="n">
        <v>0.1883</v>
      </c>
      <c r="C20" s="19" t="n">
        <v>-0.3752</v>
      </c>
      <c r="D20" s="18" t="n">
        <v>0</v>
      </c>
      <c r="E20" s="28" t="n">
        <v>1404</v>
      </c>
      <c r="F20" s="28" t="n">
        <v>1408.6</v>
      </c>
      <c r="G20" s="28" t="n">
        <v>-4.6</v>
      </c>
      <c r="H20" s="28" t="n">
        <v>1419.07</v>
      </c>
      <c r="I20" s="28" t="n">
        <v>-15.07</v>
      </c>
      <c r="J20" s="28" t="n">
        <v>64.41</v>
      </c>
      <c r="K20" s="28" t="n">
        <v>69.01</v>
      </c>
      <c r="L20" s="20" t="n">
        <v>69.012</v>
      </c>
      <c r="M20" s="28" t="n">
        <v>5</v>
      </c>
    </row>
    <row r="21" customFormat="false" ht="15" hidden="false" customHeight="false" outlineLevel="0" collapsed="false">
      <c r="A21" s="18" t="n">
        <v>8</v>
      </c>
      <c r="B21" s="19" t="n">
        <v>0.1883</v>
      </c>
      <c r="C21" s="19" t="n">
        <v>-0.3752</v>
      </c>
      <c r="D21" s="18" t="n">
        <v>1</v>
      </c>
      <c r="E21" s="28" t="n">
        <v>1514.67</v>
      </c>
      <c r="F21" s="28" t="n">
        <v>1519.79</v>
      </c>
      <c r="G21" s="28" t="n">
        <v>-5.12</v>
      </c>
      <c r="H21" s="28" t="n">
        <v>1517.36</v>
      </c>
      <c r="I21" s="28" t="n">
        <v>-2.7</v>
      </c>
      <c r="J21" s="28" t="n">
        <v>57.12</v>
      </c>
      <c r="K21" s="28" t="n">
        <v>62.24</v>
      </c>
      <c r="L21" s="20" t="n">
        <v>62.243</v>
      </c>
      <c r="M21" s="28" t="n">
        <v>12.22</v>
      </c>
    </row>
    <row r="22" customFormat="false" ht="15" hidden="false" customHeight="false" outlineLevel="0" collapsed="false">
      <c r="A22" s="18" t="n">
        <v>9</v>
      </c>
      <c r="B22" s="19" t="n">
        <v>0.6121</v>
      </c>
      <c r="C22" s="19" t="n">
        <v>0.305</v>
      </c>
      <c r="D22" s="18" t="n">
        <v>0</v>
      </c>
      <c r="E22" s="28" t="n">
        <v>1456.33</v>
      </c>
      <c r="F22" s="28" t="n">
        <v>1455.78</v>
      </c>
      <c r="G22" s="28" t="n">
        <v>0.55</v>
      </c>
      <c r="H22" s="28" t="n">
        <v>1445.13</v>
      </c>
      <c r="I22" s="28" t="n">
        <v>11.2</v>
      </c>
      <c r="J22" s="28" t="n">
        <v>116.75</v>
      </c>
      <c r="K22" s="28" t="n">
        <v>116.2</v>
      </c>
      <c r="L22" s="20" t="n">
        <v>116.198</v>
      </c>
      <c r="M22" s="28" t="n">
        <v>15.31</v>
      </c>
    </row>
    <row r="23" customFormat="false" ht="15" hidden="false" customHeight="false" outlineLevel="0" collapsed="false">
      <c r="A23" s="18" t="n">
        <v>9</v>
      </c>
      <c r="B23" s="19" t="n">
        <v>0.6121</v>
      </c>
      <c r="C23" s="19" t="n">
        <v>0.305</v>
      </c>
      <c r="D23" s="18" t="n">
        <v>1</v>
      </c>
      <c r="E23" s="28" t="n">
        <v>1561.33</v>
      </c>
      <c r="F23" s="28" t="n">
        <v>1565.95</v>
      </c>
      <c r="G23" s="28" t="n">
        <v>-4.61</v>
      </c>
      <c r="H23" s="28" t="n">
        <v>1567.04</v>
      </c>
      <c r="I23" s="28" t="n">
        <v>-5.71</v>
      </c>
      <c r="J23" s="28" t="n">
        <v>103.79</v>
      </c>
      <c r="K23" s="28" t="n">
        <v>108.4</v>
      </c>
      <c r="L23" s="20" t="n">
        <v>108.404</v>
      </c>
      <c r="M23" s="28" t="n">
        <v>10.97</v>
      </c>
    </row>
    <row r="24" customFormat="false" ht="15" hidden="false" customHeight="false" outlineLevel="0" collapsed="false">
      <c r="A24" s="18" t="n">
        <v>10</v>
      </c>
      <c r="B24" s="19" t="n">
        <v>0.41</v>
      </c>
      <c r="C24" s="19" t="n">
        <v>0.7186</v>
      </c>
      <c r="D24" s="18" t="n">
        <v>0</v>
      </c>
      <c r="E24" s="28" t="n">
        <v>1475.33</v>
      </c>
      <c r="F24" s="28" t="n">
        <v>1473.04</v>
      </c>
      <c r="G24" s="28" t="n">
        <v>2.29</v>
      </c>
      <c r="H24" s="28" t="n">
        <v>1484.2</v>
      </c>
      <c r="I24" s="28" t="n">
        <v>-8.86</v>
      </c>
      <c r="J24" s="28" t="n">
        <v>135.75</v>
      </c>
      <c r="K24" s="28" t="n">
        <v>133.46</v>
      </c>
      <c r="L24" s="20" t="n">
        <v>133.457</v>
      </c>
      <c r="M24" s="28" t="n">
        <v>10.41</v>
      </c>
    </row>
    <row r="25" customFormat="false" ht="15" hidden="false" customHeight="false" outlineLevel="0" collapsed="false">
      <c r="A25" s="18" t="n">
        <v>10</v>
      </c>
      <c r="B25" s="19" t="n">
        <v>0.41</v>
      </c>
      <c r="C25" s="19" t="n">
        <v>0.7186</v>
      </c>
      <c r="D25" s="18" t="n">
        <v>1</v>
      </c>
      <c r="E25" s="28" t="n">
        <v>1596</v>
      </c>
      <c r="F25" s="28" t="n">
        <v>1593.99</v>
      </c>
      <c r="G25" s="28" t="n">
        <v>2.01</v>
      </c>
      <c r="H25" s="28" t="n">
        <v>1589.21</v>
      </c>
      <c r="I25" s="28" t="n">
        <v>6.79</v>
      </c>
      <c r="J25" s="28" t="n">
        <v>138.46</v>
      </c>
      <c r="K25" s="28" t="n">
        <v>136.44</v>
      </c>
      <c r="L25" s="20" t="n">
        <v>136.443</v>
      </c>
      <c r="M25" s="28" t="n">
        <v>6.08</v>
      </c>
    </row>
    <row r="26" customFormat="false" ht="15" hidden="false" customHeight="false" outlineLevel="0" collapsed="false">
      <c r="A26" s="18" t="n">
        <v>11</v>
      </c>
      <c r="B26" s="19" t="n">
        <v>0.0356</v>
      </c>
      <c r="C26" s="19" t="n">
        <v>-0.4712</v>
      </c>
      <c r="D26" s="18" t="n">
        <v>0</v>
      </c>
      <c r="E26" s="28" t="n">
        <v>1410</v>
      </c>
      <c r="F26" s="28" t="n">
        <v>1418.16</v>
      </c>
      <c r="G26" s="28" t="n">
        <v>-8.16</v>
      </c>
      <c r="H26" s="28" t="n">
        <v>1421.83</v>
      </c>
      <c r="I26" s="28" t="n">
        <v>-11.83</v>
      </c>
      <c r="J26" s="28" t="n">
        <v>70.41</v>
      </c>
      <c r="K26" s="28" t="n">
        <v>78.57</v>
      </c>
      <c r="L26" s="20" t="n">
        <v>78.573</v>
      </c>
      <c r="M26" s="28" t="n">
        <v>4.36</v>
      </c>
    </row>
    <row r="27" customFormat="false" ht="15" hidden="false" customHeight="false" outlineLevel="0" collapsed="false">
      <c r="A27" s="18" t="n">
        <v>11</v>
      </c>
      <c r="B27" s="19" t="n">
        <v>0.0356</v>
      </c>
      <c r="C27" s="19" t="n">
        <v>-0.4712</v>
      </c>
      <c r="D27" s="18" t="n">
        <v>1</v>
      </c>
      <c r="E27" s="28" t="n">
        <v>1532.67</v>
      </c>
      <c r="F27" s="28" t="n">
        <v>1529.81</v>
      </c>
      <c r="G27" s="28" t="n">
        <v>2.86</v>
      </c>
      <c r="H27" s="28" t="n">
        <v>1534</v>
      </c>
      <c r="I27" s="28" t="n">
        <v>-1.33</v>
      </c>
      <c r="J27" s="28" t="n">
        <v>75.12</v>
      </c>
      <c r="K27" s="28" t="n">
        <v>72.26</v>
      </c>
      <c r="L27" s="20" t="n">
        <v>72.262</v>
      </c>
      <c r="M27" s="28" t="n">
        <v>11.06</v>
      </c>
    </row>
    <row r="28" customFormat="false" ht="15" hidden="false" customHeight="false" outlineLevel="0" collapsed="false">
      <c r="A28" s="18" t="n">
        <v>12</v>
      </c>
      <c r="B28" s="19" t="n">
        <v>-0.2208</v>
      </c>
      <c r="C28" s="19" t="n">
        <v>0.2817</v>
      </c>
      <c r="D28" s="18" t="n">
        <v>0</v>
      </c>
      <c r="E28" s="28" t="n">
        <v>1348.67</v>
      </c>
      <c r="F28" s="28" t="n">
        <v>1350.35</v>
      </c>
      <c r="G28" s="28" t="n">
        <v>-1.68</v>
      </c>
      <c r="H28" s="28" t="n">
        <v>1353.84</v>
      </c>
      <c r="I28" s="28" t="n">
        <v>-5.18</v>
      </c>
      <c r="J28" s="28" t="n">
        <v>9.08</v>
      </c>
      <c r="K28" s="28" t="n">
        <v>10.76</v>
      </c>
      <c r="L28" s="20" t="n">
        <v>10.759</v>
      </c>
      <c r="M28" s="28" t="n">
        <v>9.61</v>
      </c>
    </row>
    <row r="29" customFormat="false" ht="15" hidden="false" customHeight="false" outlineLevel="0" collapsed="false">
      <c r="A29" s="18" t="n">
        <v>12</v>
      </c>
      <c r="B29" s="19" t="n">
        <v>-0.2208</v>
      </c>
      <c r="C29" s="19" t="n">
        <v>0.2817</v>
      </c>
      <c r="D29" s="18" t="n">
        <v>1</v>
      </c>
      <c r="E29" s="28" t="n">
        <v>1466.33</v>
      </c>
      <c r="F29" s="28" t="n">
        <v>1470.25</v>
      </c>
      <c r="G29" s="28" t="n">
        <v>-3.92</v>
      </c>
      <c r="H29" s="28" t="n">
        <v>1461.8</v>
      </c>
      <c r="I29" s="28" t="n">
        <v>4.54</v>
      </c>
      <c r="J29" s="28" t="n">
        <v>8.79</v>
      </c>
      <c r="K29" s="28" t="n">
        <v>12.7</v>
      </c>
      <c r="L29" s="20" t="n">
        <v>12.705</v>
      </c>
      <c r="M29" s="28" t="n">
        <v>3.21</v>
      </c>
    </row>
    <row r="30" customFormat="false" ht="15" hidden="false" customHeight="false" outlineLevel="0" collapsed="false">
      <c r="A30" s="18" t="n">
        <v>13</v>
      </c>
      <c r="B30" s="19" t="n">
        <v>0.2447</v>
      </c>
      <c r="C30" s="19" t="n">
        <v>0.3393</v>
      </c>
      <c r="D30" s="18" t="n">
        <v>0</v>
      </c>
      <c r="E30" s="28" t="n">
        <v>1378.67</v>
      </c>
      <c r="F30" s="28" t="n">
        <v>1374</v>
      </c>
      <c r="G30" s="28" t="n">
        <v>4.67</v>
      </c>
      <c r="H30" s="28" t="n">
        <v>1381.14</v>
      </c>
      <c r="I30" s="28" t="n">
        <v>-2.47</v>
      </c>
      <c r="J30" s="28" t="n">
        <v>39.08</v>
      </c>
      <c r="K30" s="28" t="n">
        <v>34.41</v>
      </c>
      <c r="L30" s="20" t="n">
        <v>34.413</v>
      </c>
      <c r="M30" s="28" t="n">
        <v>16.65</v>
      </c>
    </row>
    <row r="31" customFormat="false" ht="15" hidden="false" customHeight="false" outlineLevel="0" collapsed="false">
      <c r="A31" s="18" t="n">
        <v>13</v>
      </c>
      <c r="B31" s="19" t="n">
        <v>0.2447</v>
      </c>
      <c r="C31" s="19" t="n">
        <v>0.3393</v>
      </c>
      <c r="D31" s="18" t="n">
        <v>1</v>
      </c>
      <c r="E31" s="28" t="n">
        <v>1491</v>
      </c>
      <c r="F31" s="28" t="n">
        <v>1492.47</v>
      </c>
      <c r="G31" s="28" t="n">
        <v>-1.47</v>
      </c>
      <c r="H31" s="28" t="n">
        <v>1485.48</v>
      </c>
      <c r="I31" s="28" t="n">
        <v>5.52</v>
      </c>
      <c r="J31" s="28" t="n">
        <v>33.46</v>
      </c>
      <c r="K31" s="28" t="n">
        <v>34.92</v>
      </c>
      <c r="L31" s="20" t="n">
        <v>34.923</v>
      </c>
      <c r="M31" s="28" t="n">
        <v>11.53</v>
      </c>
    </row>
    <row r="32" customFormat="false" ht="15" hidden="false" customHeight="false" outlineLevel="0" collapsed="false">
      <c r="A32" s="18" t="n">
        <v>14</v>
      </c>
      <c r="B32" s="19" t="n">
        <v>-0.6028</v>
      </c>
      <c r="C32" s="19" t="n">
        <v>0.2291</v>
      </c>
      <c r="D32" s="18" t="n">
        <v>0</v>
      </c>
      <c r="E32" s="28" t="n">
        <v>1407.33</v>
      </c>
      <c r="F32" s="28" t="n">
        <v>1405.88</v>
      </c>
      <c r="G32" s="28" t="n">
        <v>1.46</v>
      </c>
      <c r="H32" s="28" t="n">
        <v>1415.57</v>
      </c>
      <c r="I32" s="28" t="n">
        <v>-8.24</v>
      </c>
      <c r="J32" s="28" t="n">
        <v>67.75</v>
      </c>
      <c r="K32" s="28" t="n">
        <v>66.29</v>
      </c>
      <c r="L32" s="20" t="n">
        <v>66.289</v>
      </c>
      <c r="M32" s="28" t="n">
        <v>1.15</v>
      </c>
    </row>
    <row r="33" customFormat="false" ht="15" hidden="false" customHeight="false" outlineLevel="0" collapsed="false">
      <c r="A33" s="18" t="n">
        <v>14</v>
      </c>
      <c r="B33" s="19" t="n">
        <v>-0.6028</v>
      </c>
      <c r="C33" s="19" t="n">
        <v>0.2291</v>
      </c>
      <c r="D33" s="18" t="n">
        <v>1</v>
      </c>
      <c r="E33" s="28" t="n">
        <v>1522.33</v>
      </c>
      <c r="F33" s="28" t="n">
        <v>1520.41</v>
      </c>
      <c r="G33" s="28" t="n">
        <v>1.92</v>
      </c>
      <c r="H33" s="28" t="n">
        <v>1516.08</v>
      </c>
      <c r="I33" s="28" t="n">
        <v>6.26</v>
      </c>
      <c r="J33" s="28" t="n">
        <v>64.79</v>
      </c>
      <c r="K33" s="28" t="n">
        <v>62.87</v>
      </c>
      <c r="L33" s="20" t="n">
        <v>62.867</v>
      </c>
      <c r="M33" s="28" t="n">
        <v>13.32</v>
      </c>
    </row>
    <row r="34" customFormat="false" ht="15" hidden="false" customHeight="false" outlineLevel="0" collapsed="false">
      <c r="A34" s="18" t="n">
        <v>15</v>
      </c>
      <c r="B34" s="19" t="n">
        <v>0.0173</v>
      </c>
      <c r="C34" s="19" t="n">
        <v>-0.5414</v>
      </c>
      <c r="D34" s="18" t="n">
        <v>0</v>
      </c>
      <c r="E34" s="28" t="n">
        <v>1440.67</v>
      </c>
      <c r="F34" s="28" t="n">
        <v>1436.46</v>
      </c>
      <c r="G34" s="28" t="n">
        <v>4.2</v>
      </c>
      <c r="H34" s="28" t="n">
        <v>1439.09</v>
      </c>
      <c r="I34" s="28" t="n">
        <v>1.58</v>
      </c>
      <c r="J34" s="28" t="n">
        <v>101.08</v>
      </c>
      <c r="K34" s="28" t="n">
        <v>96.88</v>
      </c>
      <c r="L34" s="20" t="n">
        <v>96.876</v>
      </c>
      <c r="M34" s="28" t="n">
        <v>15.63</v>
      </c>
    </row>
    <row r="35" customFormat="false" ht="15" hidden="false" customHeight="false" outlineLevel="0" collapsed="false">
      <c r="A35" s="18" t="n">
        <v>15</v>
      </c>
      <c r="B35" s="19" t="n">
        <v>0.0173</v>
      </c>
      <c r="C35" s="19" t="n">
        <v>-0.5414</v>
      </c>
      <c r="D35" s="18" t="n">
        <v>1</v>
      </c>
      <c r="E35" s="28" t="n">
        <v>1559.33</v>
      </c>
      <c r="F35" s="28" t="n">
        <v>1547.6</v>
      </c>
      <c r="G35" s="28" t="n">
        <v>11.73</v>
      </c>
      <c r="H35" s="28" t="n">
        <v>1547.06</v>
      </c>
      <c r="I35" s="28" t="n">
        <v>12.28</v>
      </c>
      <c r="J35" s="28" t="n">
        <v>101.79</v>
      </c>
      <c r="K35" s="28" t="n">
        <v>90.06</v>
      </c>
      <c r="L35" s="20" t="n">
        <v>90.055</v>
      </c>
      <c r="M35" s="28" t="n">
        <v>14.57</v>
      </c>
    </row>
    <row r="36" customFormat="false" ht="15" hidden="false" customHeight="false" outlineLevel="0" collapsed="false">
      <c r="A36" s="18" t="n">
        <v>16</v>
      </c>
      <c r="B36" s="19" t="n">
        <v>-0.2305</v>
      </c>
      <c r="C36" s="19" t="n">
        <v>0.421</v>
      </c>
      <c r="D36" s="18" t="n">
        <v>0</v>
      </c>
      <c r="E36" s="28" t="n">
        <v>1373.67</v>
      </c>
      <c r="F36" s="28" t="n">
        <v>1365.33</v>
      </c>
      <c r="G36" s="28" t="n">
        <v>8.34</v>
      </c>
      <c r="H36" s="28" t="n">
        <v>1371.66</v>
      </c>
      <c r="I36" s="28" t="n">
        <v>2.01</v>
      </c>
      <c r="J36" s="28" t="n">
        <v>34.08</v>
      </c>
      <c r="K36" s="28" t="n">
        <v>25.74</v>
      </c>
      <c r="L36" s="20" t="n">
        <v>25.744</v>
      </c>
      <c r="M36" s="28" t="n">
        <v>1.53</v>
      </c>
    </row>
    <row r="37" customFormat="false" ht="15" hidden="false" customHeight="false" outlineLevel="0" collapsed="false">
      <c r="A37" s="18" t="n">
        <v>16</v>
      </c>
      <c r="B37" s="19" t="n">
        <v>-0.2305</v>
      </c>
      <c r="C37" s="19" t="n">
        <v>0.421</v>
      </c>
      <c r="D37" s="18" t="n">
        <v>1</v>
      </c>
      <c r="E37" s="28" t="n">
        <v>1480.67</v>
      </c>
      <c r="F37" s="28" t="n">
        <v>1487.02</v>
      </c>
      <c r="G37" s="28" t="n">
        <v>-6.35</v>
      </c>
      <c r="H37" s="28" t="n">
        <v>1488.19</v>
      </c>
      <c r="I37" s="28" t="n">
        <v>-7.52</v>
      </c>
      <c r="J37" s="28" t="n">
        <v>23.12</v>
      </c>
      <c r="K37" s="28" t="n">
        <v>29.47</v>
      </c>
      <c r="L37" s="20" t="n">
        <v>29.474</v>
      </c>
      <c r="M37" s="28" t="n">
        <v>9.61</v>
      </c>
    </row>
    <row r="38" customFormat="false" ht="15" hidden="false" customHeight="false" outlineLevel="0" collapsed="false">
      <c r="A38" s="18" t="n">
        <v>17</v>
      </c>
      <c r="B38" s="19" t="n">
        <v>-0.5213</v>
      </c>
      <c r="C38" s="19" t="n">
        <v>-0.322</v>
      </c>
      <c r="D38" s="18" t="n">
        <v>0</v>
      </c>
      <c r="E38" s="28" t="n">
        <v>1419.67</v>
      </c>
      <c r="F38" s="28" t="n">
        <v>1427.14</v>
      </c>
      <c r="G38" s="28" t="n">
        <v>-7.47</v>
      </c>
      <c r="H38" s="28" t="n">
        <v>1434.78</v>
      </c>
      <c r="I38" s="28" t="n">
        <v>-15.12</v>
      </c>
      <c r="J38" s="28" t="n">
        <v>80.08</v>
      </c>
      <c r="K38" s="28" t="n">
        <v>87.55</v>
      </c>
      <c r="L38" s="20" t="n">
        <v>87.549</v>
      </c>
      <c r="M38" s="28" t="n">
        <v>10.21</v>
      </c>
    </row>
    <row r="39" customFormat="false" ht="15" hidden="false" customHeight="false" outlineLevel="0" collapsed="false">
      <c r="A39" s="18" t="n">
        <v>17</v>
      </c>
      <c r="B39" s="19" t="n">
        <v>-0.5213</v>
      </c>
      <c r="C39" s="19" t="n">
        <v>-0.322</v>
      </c>
      <c r="D39" s="18" t="n">
        <v>1</v>
      </c>
      <c r="E39" s="28" t="n">
        <v>1536</v>
      </c>
      <c r="F39" s="28" t="n">
        <v>1537.07</v>
      </c>
      <c r="G39" s="28" t="n">
        <v>-1.07</v>
      </c>
      <c r="H39" s="28" t="n">
        <v>1537</v>
      </c>
      <c r="I39" s="28" t="n">
        <v>-1</v>
      </c>
      <c r="J39" s="28" t="n">
        <v>78.46</v>
      </c>
      <c r="K39" s="28" t="n">
        <v>79.53</v>
      </c>
      <c r="L39" s="20" t="n">
        <v>79.529</v>
      </c>
      <c r="M39" s="28" t="n">
        <v>13.53</v>
      </c>
    </row>
    <row r="40" customFormat="false" ht="15" hidden="false" customHeight="false" outlineLevel="0" collapsed="false">
      <c r="A40" s="18" t="n">
        <v>18</v>
      </c>
      <c r="B40" s="19" t="n">
        <v>0.0029</v>
      </c>
      <c r="C40" s="19" t="n">
        <v>-0.2241</v>
      </c>
      <c r="D40" s="18" t="n">
        <v>0</v>
      </c>
      <c r="E40" s="28" t="n">
        <v>1367</v>
      </c>
      <c r="F40" s="28" t="n">
        <v>1366.46</v>
      </c>
      <c r="G40" s="28" t="n">
        <v>0.54</v>
      </c>
      <c r="H40" s="28" t="n">
        <v>1364.6</v>
      </c>
      <c r="I40" s="28" t="n">
        <v>2.4</v>
      </c>
      <c r="J40" s="28" t="n">
        <v>27.41</v>
      </c>
      <c r="K40" s="28" t="n">
        <v>26.87</v>
      </c>
      <c r="L40" s="20" t="n">
        <v>26.873</v>
      </c>
      <c r="M40" s="28" t="n">
        <v>4.58</v>
      </c>
    </row>
    <row r="41" customFormat="false" ht="15" hidden="false" customHeight="false" outlineLevel="0" collapsed="false">
      <c r="A41" s="18" t="n">
        <v>18</v>
      </c>
      <c r="B41" s="19" t="n">
        <v>0.0029</v>
      </c>
      <c r="C41" s="19" t="n">
        <v>-0.2241</v>
      </c>
      <c r="D41" s="18" t="n">
        <v>1</v>
      </c>
      <c r="E41" s="28" t="n">
        <v>1477.67</v>
      </c>
      <c r="F41" s="28" t="n">
        <v>1480.61</v>
      </c>
      <c r="G41" s="28" t="n">
        <v>-2.94</v>
      </c>
      <c r="H41" s="28" t="n">
        <v>1478.94</v>
      </c>
      <c r="I41" s="28" t="n">
        <v>-1.28</v>
      </c>
      <c r="J41" s="28" t="n">
        <v>20.12</v>
      </c>
      <c r="K41" s="28" t="n">
        <v>23.06</v>
      </c>
      <c r="L41" s="20" t="n">
        <v>23.064</v>
      </c>
      <c r="M41" s="28" t="n">
        <v>9.87</v>
      </c>
    </row>
    <row r="42" customFormat="false" ht="15" hidden="false" customHeight="false" outlineLevel="0" collapsed="false">
      <c r="A42" s="18" t="n">
        <v>19</v>
      </c>
      <c r="B42" s="19" t="n">
        <v>0.0002</v>
      </c>
      <c r="C42" s="19" t="n">
        <v>0.1226</v>
      </c>
      <c r="D42" s="18" t="n">
        <v>0</v>
      </c>
      <c r="E42" s="28" t="n">
        <v>1338.67</v>
      </c>
      <c r="F42" s="28" t="n">
        <v>1340.93</v>
      </c>
      <c r="G42" s="28" t="n">
        <v>-2.26</v>
      </c>
      <c r="H42" s="28" t="n">
        <v>1341.67</v>
      </c>
      <c r="I42" s="28" t="n">
        <v>-3.01</v>
      </c>
      <c r="J42" s="28" t="n">
        <v>-0.92</v>
      </c>
      <c r="K42" s="28" t="n">
        <v>1.34</v>
      </c>
      <c r="L42" s="20" t="n">
        <v>1.34</v>
      </c>
      <c r="M42" s="28" t="n">
        <v>11.59</v>
      </c>
    </row>
    <row r="43" customFormat="false" ht="15" hidden="false" customHeight="false" outlineLevel="0" collapsed="false">
      <c r="A43" s="18" t="n">
        <v>19</v>
      </c>
      <c r="B43" s="19" t="n">
        <v>0.0002</v>
      </c>
      <c r="C43" s="19" t="n">
        <v>0.1226</v>
      </c>
      <c r="D43" s="18" t="n">
        <v>1</v>
      </c>
      <c r="E43" s="28" t="n">
        <v>1456.33</v>
      </c>
      <c r="F43" s="28" t="n">
        <v>1458.91</v>
      </c>
      <c r="G43" s="28" t="n">
        <v>-2.58</v>
      </c>
      <c r="H43" s="28" t="n">
        <v>1458.29</v>
      </c>
      <c r="I43" s="28" t="n">
        <v>-1.96</v>
      </c>
      <c r="J43" s="28" t="n">
        <v>-1.21</v>
      </c>
      <c r="K43" s="28" t="n">
        <v>1.37</v>
      </c>
      <c r="L43" s="20" t="n">
        <v>1.367</v>
      </c>
      <c r="M43" s="28" t="n">
        <v>8.33</v>
      </c>
    </row>
    <row r="44" customFormat="false" ht="15" hidden="false" customHeight="false" outlineLevel="0" collapsed="false">
      <c r="A44" s="18" t="n">
        <v>20</v>
      </c>
      <c r="B44" s="19" t="n">
        <v>-0.6838</v>
      </c>
      <c r="C44" s="19" t="n">
        <v>-0.2823</v>
      </c>
      <c r="D44" s="18" t="n">
        <v>0</v>
      </c>
      <c r="E44" s="28" t="n">
        <v>1457.67</v>
      </c>
      <c r="F44" s="28" t="n">
        <v>1459.03</v>
      </c>
      <c r="G44" s="28" t="n">
        <v>-1.36</v>
      </c>
      <c r="H44" s="28" t="n">
        <v>1461.41</v>
      </c>
      <c r="I44" s="28" t="n">
        <v>-3.74</v>
      </c>
      <c r="J44" s="28" t="n">
        <v>118.08</v>
      </c>
      <c r="K44" s="28" t="n">
        <v>119.44</v>
      </c>
      <c r="L44" s="20" t="n">
        <v>119.439</v>
      </c>
      <c r="M44" s="28" t="n">
        <v>16.04</v>
      </c>
    </row>
    <row r="45" customFormat="false" ht="15" hidden="false" customHeight="false" outlineLevel="0" collapsed="false">
      <c r="A45" s="18" t="n">
        <v>20</v>
      </c>
      <c r="B45" s="19" t="n">
        <v>-0.6838</v>
      </c>
      <c r="C45" s="19" t="n">
        <v>-0.2823</v>
      </c>
      <c r="D45" s="18" t="n">
        <v>1</v>
      </c>
      <c r="E45" s="28" t="n">
        <v>1571.67</v>
      </c>
      <c r="F45" s="28" t="n">
        <v>1566.11</v>
      </c>
      <c r="G45" s="28" t="n">
        <v>5.56</v>
      </c>
      <c r="H45" s="28" t="n">
        <v>1562.93</v>
      </c>
      <c r="I45" s="28" t="n">
        <v>8.74</v>
      </c>
      <c r="J45" s="28" t="n">
        <v>114.12</v>
      </c>
      <c r="K45" s="28" t="n">
        <v>108.56</v>
      </c>
      <c r="L45" s="20" t="n">
        <v>108.561</v>
      </c>
      <c r="M45" s="28" t="n">
        <v>10.79</v>
      </c>
    </row>
    <row r="46" customFormat="false" ht="15" hidden="false" customHeight="false" outlineLevel="0" collapsed="false">
      <c r="A46" s="18" t="n">
        <v>21</v>
      </c>
      <c r="B46" s="19" t="n">
        <v>0.4465</v>
      </c>
      <c r="C46" s="19" t="n">
        <v>0.4931</v>
      </c>
      <c r="D46" s="18" t="n">
        <v>0</v>
      </c>
      <c r="E46" s="28" t="n">
        <v>1429.67</v>
      </c>
      <c r="F46" s="28" t="n">
        <v>1433.15</v>
      </c>
      <c r="G46" s="28" t="n">
        <v>-3.48</v>
      </c>
      <c r="H46" s="28" t="n">
        <v>1440.49</v>
      </c>
      <c r="I46" s="28" t="n">
        <v>-10.83</v>
      </c>
      <c r="J46" s="28" t="n">
        <v>90.08</v>
      </c>
      <c r="K46" s="28" t="n">
        <v>93.56</v>
      </c>
      <c r="L46" s="20" t="n">
        <v>93.56</v>
      </c>
      <c r="M46" s="28" t="n">
        <v>8.08</v>
      </c>
    </row>
    <row r="47" customFormat="false" ht="15" hidden="false" customHeight="false" outlineLevel="0" collapsed="false">
      <c r="A47" s="18" t="n">
        <v>21</v>
      </c>
      <c r="B47" s="19" t="n">
        <v>0.4465</v>
      </c>
      <c r="C47" s="19" t="n">
        <v>0.4931</v>
      </c>
      <c r="D47" s="18" t="n">
        <v>1</v>
      </c>
      <c r="E47" s="28" t="n">
        <v>1547.33</v>
      </c>
      <c r="F47" s="28" t="n">
        <v>1550.04</v>
      </c>
      <c r="G47" s="28" t="n">
        <v>-2.71</v>
      </c>
      <c r="H47" s="28" t="n">
        <v>1553.86</v>
      </c>
      <c r="I47" s="28" t="n">
        <v>-6.53</v>
      </c>
      <c r="J47" s="28" t="n">
        <v>89.79</v>
      </c>
      <c r="K47" s="28" t="n">
        <v>92.5</v>
      </c>
      <c r="L47" s="20" t="n">
        <v>92.498</v>
      </c>
      <c r="M47" s="28" t="n">
        <v>10.41</v>
      </c>
    </row>
    <row r="48" customFormat="false" ht="15" hidden="false" customHeight="false" outlineLevel="0" collapsed="false">
      <c r="A48" s="18" t="n">
        <v>22</v>
      </c>
      <c r="B48" s="19" t="n">
        <v>0.436</v>
      </c>
      <c r="C48" s="19" t="n">
        <v>0.4497</v>
      </c>
      <c r="D48" s="18" t="n">
        <v>0</v>
      </c>
      <c r="E48" s="28" t="n">
        <v>1423</v>
      </c>
      <c r="F48" s="28" t="n">
        <v>1423.91</v>
      </c>
      <c r="G48" s="28" t="n">
        <v>-0.91</v>
      </c>
      <c r="H48" s="28" t="n">
        <v>1429.71</v>
      </c>
      <c r="I48" s="28" t="n">
        <v>-6.71</v>
      </c>
      <c r="J48" s="28" t="n">
        <v>83.41</v>
      </c>
      <c r="K48" s="28" t="n">
        <v>84.33</v>
      </c>
      <c r="L48" s="20" t="n">
        <v>84.328</v>
      </c>
      <c r="M48" s="28" t="n">
        <v>14.73</v>
      </c>
    </row>
    <row r="49" customFormat="false" ht="15" hidden="false" customHeight="false" outlineLevel="0" collapsed="false">
      <c r="A49" s="18" t="n">
        <v>22</v>
      </c>
      <c r="B49" s="19" t="n">
        <v>0.436</v>
      </c>
      <c r="C49" s="19" t="n">
        <v>0.4497</v>
      </c>
      <c r="D49" s="18" t="n">
        <v>1</v>
      </c>
      <c r="E49" s="28" t="n">
        <v>1543.67</v>
      </c>
      <c r="F49" s="28" t="n">
        <v>1540.44</v>
      </c>
      <c r="G49" s="28" t="n">
        <v>3.22</v>
      </c>
      <c r="H49" s="28" t="n">
        <v>1544.79</v>
      </c>
      <c r="I49" s="28" t="n">
        <v>-1.12</v>
      </c>
      <c r="J49" s="28" t="n">
        <v>86.12</v>
      </c>
      <c r="K49" s="28" t="n">
        <v>82.9</v>
      </c>
      <c r="L49" s="20" t="n">
        <v>82.899</v>
      </c>
      <c r="M49" s="28" t="n">
        <v>0.58</v>
      </c>
    </row>
    <row r="50" customFormat="false" ht="15" hidden="false" customHeight="false" outlineLevel="0" collapsed="false">
      <c r="A50" s="18" t="n">
        <v>23</v>
      </c>
      <c r="B50" s="19" t="n">
        <v>0.2535</v>
      </c>
      <c r="C50" s="19" t="n">
        <v>-0.0437</v>
      </c>
      <c r="D50" s="18" t="n">
        <v>0</v>
      </c>
      <c r="E50" s="28" t="n">
        <v>1365.67</v>
      </c>
      <c r="F50" s="28" t="n">
        <v>1370.09</v>
      </c>
      <c r="G50" s="28" t="n">
        <v>-4.43</v>
      </c>
      <c r="H50" s="28" t="n">
        <v>1379.06</v>
      </c>
      <c r="I50" s="28" t="n">
        <v>-13.39</v>
      </c>
      <c r="J50" s="28" t="n">
        <v>26.08</v>
      </c>
      <c r="K50" s="28" t="n">
        <v>30.51</v>
      </c>
      <c r="L50" s="20" t="n">
        <v>30.506</v>
      </c>
      <c r="M50" s="28" t="n">
        <v>2.31</v>
      </c>
    </row>
    <row r="51" customFormat="false" ht="15" hidden="false" customHeight="false" outlineLevel="0" collapsed="false">
      <c r="A51" s="18" t="n">
        <v>23</v>
      </c>
      <c r="B51" s="19" t="n">
        <v>0.2535</v>
      </c>
      <c r="C51" s="19" t="n">
        <v>-0.0437</v>
      </c>
      <c r="D51" s="18" t="n">
        <v>1</v>
      </c>
      <c r="E51" s="28" t="n">
        <v>1489</v>
      </c>
      <c r="F51" s="28" t="n">
        <v>1483.81</v>
      </c>
      <c r="G51" s="28" t="n">
        <v>5.19</v>
      </c>
      <c r="H51" s="28" t="n">
        <v>1475.17</v>
      </c>
      <c r="I51" s="28" t="n">
        <v>13.83</v>
      </c>
      <c r="J51" s="28" t="n">
        <v>31.46</v>
      </c>
      <c r="K51" s="28" t="n">
        <v>26.27</v>
      </c>
      <c r="L51" s="20" t="n">
        <v>26.266</v>
      </c>
      <c r="M51" s="28" t="n">
        <v>6.24</v>
      </c>
    </row>
    <row r="53" customFormat="false" ht="15" hidden="false" customHeight="false" outlineLevel="0" collapsed="false">
      <c r="A53" s="10" t="s">
        <v>807</v>
      </c>
    </row>
    <row r="54" customFormat="false" ht="15" hidden="false" customHeight="false" outlineLevel="0" collapsed="false">
      <c r="A54" s="23" t="s">
        <v>808</v>
      </c>
      <c r="B54" s="12" t="s">
        <v>809</v>
      </c>
      <c r="C54" s="13" t="n">
        <f aca="false">1-SUMPRODUCT((D4:D51=0)*(G4:G51)^2)/SUMPRODUCT((D4:D51=0)*(E4:E51-AVERAGEIF(D4:D51,0,E4:E51))^2)</f>
        <v>0.989789827785345</v>
      </c>
      <c r="D54" s="12" t="s">
        <v>810</v>
      </c>
      <c r="E54" s="14" t="n">
        <f aca="false">SQRT(SUMPRODUCT((D4:D51=0)*(G4:G51)^2)/COUNTIF(D4:D51,0))</f>
        <v>5.00715321648273</v>
      </c>
    </row>
    <row r="55" customFormat="false" ht="15" hidden="false" customHeight="false" outlineLevel="0" collapsed="false">
      <c r="A55" s="23" t="s">
        <v>811</v>
      </c>
      <c r="B55" s="12" t="s">
        <v>809</v>
      </c>
      <c r="C55" s="13" t="n">
        <f aca="false">1-SUMPRODUCT((D4:D51=1)*(G4:G51)^2)/SUMPRODUCT((D4:D51=1)*(E4:E51-AVERAGEIF(D4:D51,1,E4:E51))^2)</f>
        <v>0.990586534427192</v>
      </c>
      <c r="D55" s="12" t="s">
        <v>810</v>
      </c>
      <c r="E55" s="14" t="n">
        <f aca="false">SQRT(SUMPRODUCT((D4:D51=1)*(G4:G51)^2)/COUNTIF(D4:D51,1))</f>
        <v>4.52647581826451</v>
      </c>
    </row>
    <row r="57" customFormat="false" ht="15" hidden="false" customHeight="false" outlineLevel="0" collapsed="false">
      <c r="A57" s="10" t="s">
        <v>812</v>
      </c>
    </row>
    <row r="58" customFormat="false" ht="15" hidden="false" customHeight="false" outlineLevel="0" collapsed="false">
      <c r="A58" s="17" t="s">
        <v>477</v>
      </c>
      <c r="B58" s="17" t="s">
        <v>813</v>
      </c>
      <c r="C58" s="17" t="s">
        <v>814</v>
      </c>
      <c r="D58" s="17" t="s">
        <v>815</v>
      </c>
      <c r="E58" s="17" t="s">
        <v>482</v>
      </c>
      <c r="F58" s="17" t="s">
        <v>474</v>
      </c>
      <c r="G58" s="17" t="s">
        <v>484</v>
      </c>
      <c r="H58" s="17" t="s">
        <v>485</v>
      </c>
    </row>
    <row r="59" customFormat="false" ht="15" hidden="false" customHeight="false" outlineLevel="0" collapsed="false">
      <c r="A59" s="12" t="s">
        <v>491</v>
      </c>
      <c r="B59" s="31" t="n">
        <v>-0.0761</v>
      </c>
      <c r="C59" s="31" t="n">
        <v>0.0066</v>
      </c>
      <c r="D59" s="14" t="n">
        <v>229</v>
      </c>
      <c r="E59" s="14" t="n">
        <v>1343.4</v>
      </c>
      <c r="F59" s="14" t="n">
        <v>142.9</v>
      </c>
      <c r="G59" s="13" t="n">
        <v>1.162</v>
      </c>
      <c r="H59" s="14" t="n">
        <v>8.3</v>
      </c>
    </row>
    <row r="60" customFormat="false" ht="15" hidden="false" customHeight="false" outlineLevel="0" collapsed="false">
      <c r="A60" s="12" t="s">
        <v>492</v>
      </c>
      <c r="B60" s="31" t="n">
        <v>-0.0733</v>
      </c>
      <c r="C60" s="31" t="n">
        <v>0.0074</v>
      </c>
      <c r="D60" s="14" t="n">
        <v>208.9</v>
      </c>
      <c r="E60" s="14" t="n">
        <v>1460.4</v>
      </c>
      <c r="F60" s="14" t="n">
        <v>128.9</v>
      </c>
      <c r="G60" s="13" t="n">
        <v>0.625</v>
      </c>
      <c r="H60" s="14" t="n">
        <v>9.48</v>
      </c>
    </row>
    <row r="61" customFormat="false" ht="15" hidden="false" customHeight="false" outlineLevel="0" collapsed="false">
      <c r="A61" s="12" t="s">
        <v>494</v>
      </c>
      <c r="B61" s="31" t="n">
        <v>0.1167</v>
      </c>
      <c r="C61" s="31" t="n">
        <v>0.0067</v>
      </c>
      <c r="D61" s="14" t="n">
        <v>219.1</v>
      </c>
      <c r="E61" s="14" t="n">
        <v>1340.1</v>
      </c>
      <c r="F61" s="14" t="n">
        <v>150.6</v>
      </c>
      <c r="G61" s="13" t="n">
        <v>1.201</v>
      </c>
      <c r="H61" s="14" t="n">
        <v>8.32</v>
      </c>
    </row>
    <row r="62" customFormat="false" ht="15" hidden="false" customHeight="false" outlineLevel="0" collapsed="false">
      <c r="A62" s="12" t="s">
        <v>495</v>
      </c>
      <c r="B62" s="31" t="n">
        <v>0.0898</v>
      </c>
      <c r="C62" s="31" t="n">
        <v>0.0062</v>
      </c>
      <c r="D62" s="14" t="n">
        <v>221.7</v>
      </c>
      <c r="E62" s="14" t="n">
        <v>1457.6</v>
      </c>
      <c r="F62" s="14" t="n">
        <v>149.4</v>
      </c>
      <c r="G62" s="13" t="n">
        <v>1.074</v>
      </c>
      <c r="H62" s="14" t="n">
        <v>8.95</v>
      </c>
    </row>
  </sheetData>
  <autoFilter ref="A3:M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0" t="s">
        <v>816</v>
      </c>
    </row>
    <row r="3" customFormat="false" ht="26.85" hidden="false" customHeight="false" outlineLevel="0" collapsed="false">
      <c r="A3" s="17" t="s">
        <v>479</v>
      </c>
      <c r="B3" s="17" t="s">
        <v>478</v>
      </c>
      <c r="C3" s="17" t="s">
        <v>477</v>
      </c>
      <c r="D3" s="17" t="s">
        <v>817</v>
      </c>
      <c r="E3" s="17" t="s">
        <v>818</v>
      </c>
      <c r="F3" s="17" t="s">
        <v>819</v>
      </c>
      <c r="G3" s="17" t="s">
        <v>820</v>
      </c>
      <c r="H3" s="6" t="s">
        <v>806</v>
      </c>
      <c r="I3" s="17" t="s">
        <v>821</v>
      </c>
    </row>
    <row r="4" customFormat="false" ht="15" hidden="false" customHeight="false" outlineLevel="0" collapsed="false">
      <c r="A4" s="18" t="n">
        <v>0</v>
      </c>
      <c r="B4" s="18" t="n">
        <v>0</v>
      </c>
      <c r="C4" s="18" t="s">
        <v>491</v>
      </c>
      <c r="D4" s="29" t="n">
        <v>-0.8</v>
      </c>
      <c r="E4" s="29" t="n">
        <v>-1.73</v>
      </c>
      <c r="F4" s="29" t="n">
        <v>-0.13</v>
      </c>
      <c r="G4" s="28" t="n">
        <v>1466</v>
      </c>
      <c r="H4" s="28" t="n">
        <v>8.66</v>
      </c>
      <c r="I4" s="20" t="n">
        <v>1.76374</v>
      </c>
    </row>
    <row r="5" customFormat="false" ht="15" hidden="false" customHeight="false" outlineLevel="0" collapsed="false">
      <c r="A5" s="18" t="n">
        <v>0</v>
      </c>
      <c r="B5" s="18" t="n">
        <v>0</v>
      </c>
      <c r="C5" s="18" t="s">
        <v>491</v>
      </c>
      <c r="D5" s="29" t="n">
        <v>-0.75</v>
      </c>
      <c r="E5" s="29" t="n">
        <v>-1.68</v>
      </c>
      <c r="F5" s="29" t="n">
        <v>-0.18</v>
      </c>
      <c r="G5" s="28" t="n">
        <v>1434.67</v>
      </c>
      <c r="H5" s="28" t="n">
        <v>6.66</v>
      </c>
      <c r="I5" s="20" t="n">
        <v>1.72548</v>
      </c>
    </row>
    <row r="6" customFormat="false" ht="15" hidden="false" customHeight="false" outlineLevel="0" collapsed="false">
      <c r="A6" s="18" t="n">
        <v>0</v>
      </c>
      <c r="B6" s="18" t="n">
        <v>0</v>
      </c>
      <c r="C6" s="18" t="s">
        <v>491</v>
      </c>
      <c r="D6" s="29" t="n">
        <v>-0.7</v>
      </c>
      <c r="E6" s="29" t="n">
        <v>-1.63</v>
      </c>
      <c r="F6" s="29" t="n">
        <v>-0.23</v>
      </c>
      <c r="G6" s="28" t="n">
        <v>1423</v>
      </c>
      <c r="H6" s="28" t="n">
        <v>6.93</v>
      </c>
      <c r="I6" s="20" t="n">
        <v>1.71123</v>
      </c>
    </row>
    <row r="7" customFormat="false" ht="15" hidden="false" customHeight="false" outlineLevel="0" collapsed="false">
      <c r="A7" s="18" t="n">
        <v>0</v>
      </c>
      <c r="B7" s="18" t="n">
        <v>0</v>
      </c>
      <c r="C7" s="18" t="s">
        <v>491</v>
      </c>
      <c r="D7" s="29" t="n">
        <v>-0.65</v>
      </c>
      <c r="E7" s="29" t="n">
        <v>-1.58</v>
      </c>
      <c r="F7" s="29" t="n">
        <v>-0.28</v>
      </c>
      <c r="G7" s="28" t="n">
        <v>1423.33</v>
      </c>
      <c r="H7" s="28" t="n">
        <v>9.02</v>
      </c>
      <c r="I7" s="20" t="n">
        <v>1.71164</v>
      </c>
    </row>
    <row r="8" customFormat="false" ht="15" hidden="false" customHeight="false" outlineLevel="0" collapsed="false">
      <c r="A8" s="18" t="n">
        <v>0</v>
      </c>
      <c r="B8" s="18" t="n">
        <v>0</v>
      </c>
      <c r="C8" s="18" t="s">
        <v>491</v>
      </c>
      <c r="D8" s="29" t="n">
        <v>-0.6</v>
      </c>
      <c r="E8" s="29" t="n">
        <v>-1.53</v>
      </c>
      <c r="F8" s="29" t="n">
        <v>-0.33</v>
      </c>
      <c r="G8" s="28" t="n">
        <v>1409.33</v>
      </c>
      <c r="H8" s="28" t="n">
        <v>4.93</v>
      </c>
      <c r="I8" s="20" t="n">
        <v>1.69455</v>
      </c>
    </row>
    <row r="9" customFormat="false" ht="15" hidden="false" customHeight="false" outlineLevel="0" collapsed="false">
      <c r="A9" s="18" t="n">
        <v>0</v>
      </c>
      <c r="B9" s="18" t="n">
        <v>0</v>
      </c>
      <c r="C9" s="18" t="s">
        <v>491</v>
      </c>
      <c r="D9" s="29" t="n">
        <v>-0.55</v>
      </c>
      <c r="E9" s="29" t="n">
        <v>-1.48</v>
      </c>
      <c r="F9" s="29" t="n">
        <v>-0.38</v>
      </c>
      <c r="G9" s="28" t="n">
        <v>1394</v>
      </c>
      <c r="H9" s="28" t="n">
        <v>12.12</v>
      </c>
      <c r="I9" s="20" t="n">
        <v>1.67582</v>
      </c>
    </row>
    <row r="10" customFormat="false" ht="15" hidden="false" customHeight="false" outlineLevel="0" collapsed="false">
      <c r="A10" s="18" t="n">
        <v>0</v>
      </c>
      <c r="B10" s="18" t="n">
        <v>0</v>
      </c>
      <c r="C10" s="18" t="s">
        <v>491</v>
      </c>
      <c r="D10" s="29" t="n">
        <v>-0.5</v>
      </c>
      <c r="E10" s="29" t="n">
        <v>-1.43</v>
      </c>
      <c r="F10" s="29" t="n">
        <v>-0.43</v>
      </c>
      <c r="G10" s="28" t="n">
        <v>1384.33</v>
      </c>
      <c r="H10" s="28" t="n">
        <v>14.15</v>
      </c>
      <c r="I10" s="20" t="n">
        <v>1.66402</v>
      </c>
    </row>
    <row r="11" customFormat="false" ht="15" hidden="false" customHeight="false" outlineLevel="0" collapsed="false">
      <c r="A11" s="18" t="n">
        <v>0</v>
      </c>
      <c r="B11" s="18" t="n">
        <v>0</v>
      </c>
      <c r="C11" s="18" t="s">
        <v>491</v>
      </c>
      <c r="D11" s="29" t="n">
        <v>-0.45</v>
      </c>
      <c r="E11" s="29" t="n">
        <v>-1.38</v>
      </c>
      <c r="F11" s="29" t="n">
        <v>-0.48</v>
      </c>
      <c r="G11" s="28" t="n">
        <v>1372.33</v>
      </c>
      <c r="H11" s="28" t="n">
        <v>8.33</v>
      </c>
      <c r="I11" s="20" t="n">
        <v>1.64937</v>
      </c>
    </row>
    <row r="12" customFormat="false" ht="15" hidden="false" customHeight="false" outlineLevel="0" collapsed="false">
      <c r="A12" s="18" t="n">
        <v>0</v>
      </c>
      <c r="B12" s="18" t="n">
        <v>0</v>
      </c>
      <c r="C12" s="18" t="s">
        <v>491</v>
      </c>
      <c r="D12" s="29" t="n">
        <v>-0.4</v>
      </c>
      <c r="E12" s="29" t="n">
        <v>-1.33</v>
      </c>
      <c r="F12" s="29" t="n">
        <v>-0.53</v>
      </c>
      <c r="G12" s="28" t="n">
        <v>1365.67</v>
      </c>
      <c r="H12" s="28" t="n">
        <v>8.08</v>
      </c>
      <c r="I12" s="20" t="n">
        <v>1.64123</v>
      </c>
    </row>
    <row r="13" customFormat="false" ht="15" hidden="false" customHeight="false" outlineLevel="0" collapsed="false">
      <c r="A13" s="18" t="n">
        <v>0</v>
      </c>
      <c r="B13" s="18" t="n">
        <v>0</v>
      </c>
      <c r="C13" s="18" t="s">
        <v>491</v>
      </c>
      <c r="D13" s="29" t="n">
        <v>-0.35</v>
      </c>
      <c r="E13" s="29" t="n">
        <v>-1.28</v>
      </c>
      <c r="F13" s="29" t="n">
        <v>-0.58</v>
      </c>
      <c r="G13" s="28" t="n">
        <v>1366</v>
      </c>
      <c r="H13" s="28" t="n">
        <v>18.08</v>
      </c>
      <c r="I13" s="20" t="n">
        <v>1.64164</v>
      </c>
    </row>
    <row r="14" customFormat="false" ht="15" hidden="false" customHeight="false" outlineLevel="0" collapsed="false">
      <c r="A14" s="18" t="n">
        <v>0</v>
      </c>
      <c r="B14" s="18" t="n">
        <v>0</v>
      </c>
      <c r="C14" s="18" t="s">
        <v>491</v>
      </c>
      <c r="D14" s="29" t="n">
        <v>-0.3</v>
      </c>
      <c r="E14" s="29" t="n">
        <v>-1.23</v>
      </c>
      <c r="F14" s="29" t="n">
        <v>-0.63</v>
      </c>
      <c r="G14" s="28" t="n">
        <v>1352.33</v>
      </c>
      <c r="H14" s="28" t="n">
        <v>8.08</v>
      </c>
      <c r="I14" s="20" t="n">
        <v>1.62495</v>
      </c>
    </row>
    <row r="15" customFormat="false" ht="15" hidden="false" customHeight="false" outlineLevel="0" collapsed="false">
      <c r="A15" s="18" t="n">
        <v>0</v>
      </c>
      <c r="B15" s="18" t="n">
        <v>0</v>
      </c>
      <c r="C15" s="18" t="s">
        <v>491</v>
      </c>
      <c r="D15" s="29" t="n">
        <v>-0.25</v>
      </c>
      <c r="E15" s="29" t="n">
        <v>-1.18</v>
      </c>
      <c r="F15" s="29" t="n">
        <v>-0.68</v>
      </c>
      <c r="G15" s="28" t="n">
        <v>1350.33</v>
      </c>
      <c r="H15" s="28" t="n">
        <v>9.45</v>
      </c>
      <c r="I15" s="20" t="n">
        <v>1.62251</v>
      </c>
    </row>
    <row r="16" customFormat="false" ht="15" hidden="false" customHeight="false" outlineLevel="0" collapsed="false">
      <c r="A16" s="18" t="n">
        <v>0</v>
      </c>
      <c r="B16" s="18" t="n">
        <v>0</v>
      </c>
      <c r="C16" s="18" t="s">
        <v>491</v>
      </c>
      <c r="D16" s="29" t="n">
        <v>-0.2</v>
      </c>
      <c r="E16" s="29" t="n">
        <v>-1.13</v>
      </c>
      <c r="F16" s="29" t="n">
        <v>-0.73</v>
      </c>
      <c r="G16" s="28" t="n">
        <v>1347.33</v>
      </c>
      <c r="H16" s="28" t="n">
        <v>6.35</v>
      </c>
      <c r="I16" s="20" t="n">
        <v>1.61884</v>
      </c>
    </row>
    <row r="17" customFormat="false" ht="15" hidden="false" customHeight="false" outlineLevel="0" collapsed="false">
      <c r="A17" s="18" t="n">
        <v>0</v>
      </c>
      <c r="B17" s="18" t="n">
        <v>0</v>
      </c>
      <c r="C17" s="18" t="s">
        <v>491</v>
      </c>
      <c r="D17" s="29" t="n">
        <v>-0.15</v>
      </c>
      <c r="E17" s="29" t="n">
        <v>-1.08</v>
      </c>
      <c r="F17" s="29" t="n">
        <v>-0.78</v>
      </c>
      <c r="G17" s="28" t="n">
        <v>1343</v>
      </c>
      <c r="H17" s="28" t="n">
        <v>8</v>
      </c>
      <c r="I17" s="20" t="n">
        <v>1.61355</v>
      </c>
    </row>
    <row r="18" customFormat="false" ht="15" hidden="false" customHeight="false" outlineLevel="0" collapsed="false">
      <c r="A18" s="18" t="n">
        <v>0</v>
      </c>
      <c r="B18" s="18" t="n">
        <v>0</v>
      </c>
      <c r="C18" s="18" t="s">
        <v>491</v>
      </c>
      <c r="D18" s="29" t="n">
        <v>-0.1</v>
      </c>
      <c r="E18" s="29" t="n">
        <v>-1.03</v>
      </c>
      <c r="F18" s="29" t="n">
        <v>-0.83</v>
      </c>
      <c r="G18" s="28" t="n">
        <v>1343.67</v>
      </c>
      <c r="H18" s="28" t="n">
        <v>6.35</v>
      </c>
      <c r="I18" s="20" t="n">
        <v>1.61437</v>
      </c>
    </row>
    <row r="19" customFormat="false" ht="15" hidden="false" customHeight="false" outlineLevel="0" collapsed="false">
      <c r="A19" s="18" t="n">
        <v>0</v>
      </c>
      <c r="B19" s="18" t="n">
        <v>0</v>
      </c>
      <c r="C19" s="18" t="s">
        <v>491</v>
      </c>
      <c r="D19" s="29" t="n">
        <v>-0.05</v>
      </c>
      <c r="E19" s="29" t="n">
        <v>-0.98</v>
      </c>
      <c r="F19" s="29" t="n">
        <v>-0.88</v>
      </c>
      <c r="G19" s="28" t="n">
        <v>1347.33</v>
      </c>
      <c r="H19" s="28" t="n">
        <v>11.5</v>
      </c>
      <c r="I19" s="20" t="n">
        <v>1.61884</v>
      </c>
    </row>
    <row r="20" customFormat="false" ht="15" hidden="false" customHeight="false" outlineLevel="0" collapsed="false">
      <c r="A20" s="18" t="n">
        <v>0</v>
      </c>
      <c r="B20" s="18" t="n">
        <v>0</v>
      </c>
      <c r="C20" s="18" t="s">
        <v>491</v>
      </c>
      <c r="D20" s="29" t="n">
        <v>0</v>
      </c>
      <c r="E20" s="29" t="n">
        <v>-0.93</v>
      </c>
      <c r="F20" s="29" t="n">
        <v>-0.93</v>
      </c>
      <c r="G20" s="28" t="n">
        <v>1339.33</v>
      </c>
      <c r="H20" s="28" t="n">
        <v>3.51</v>
      </c>
      <c r="I20" s="20" t="n">
        <v>1.60908</v>
      </c>
    </row>
    <row r="21" customFormat="false" ht="15" hidden="false" customHeight="false" outlineLevel="0" collapsed="false">
      <c r="A21" s="18" t="n">
        <v>0</v>
      </c>
      <c r="B21" s="18" t="n">
        <v>0</v>
      </c>
      <c r="C21" s="18" t="s">
        <v>491</v>
      </c>
      <c r="D21" s="29" t="n">
        <v>0.05</v>
      </c>
      <c r="E21" s="29" t="n">
        <v>-0.88</v>
      </c>
      <c r="F21" s="29" t="n">
        <v>-0.98</v>
      </c>
      <c r="G21" s="28" t="n">
        <v>1344.33</v>
      </c>
      <c r="H21" s="28" t="n">
        <v>6.81</v>
      </c>
      <c r="I21" s="20" t="n">
        <v>1.61518</v>
      </c>
    </row>
    <row r="22" customFormat="false" ht="15" hidden="false" customHeight="false" outlineLevel="0" collapsed="false">
      <c r="A22" s="18" t="n">
        <v>0</v>
      </c>
      <c r="B22" s="18" t="n">
        <v>0</v>
      </c>
      <c r="C22" s="18" t="s">
        <v>491</v>
      </c>
      <c r="D22" s="29" t="n">
        <v>0.1</v>
      </c>
      <c r="E22" s="29" t="n">
        <v>-0.83</v>
      </c>
      <c r="F22" s="29" t="n">
        <v>-1.03</v>
      </c>
      <c r="G22" s="28" t="n">
        <v>1353.67</v>
      </c>
      <c r="H22" s="28" t="n">
        <v>9.24</v>
      </c>
      <c r="I22" s="20" t="n">
        <v>1.62658</v>
      </c>
    </row>
    <row r="23" customFormat="false" ht="15" hidden="false" customHeight="false" outlineLevel="0" collapsed="false">
      <c r="A23" s="18" t="n">
        <v>0</v>
      </c>
      <c r="B23" s="18" t="n">
        <v>0</v>
      </c>
      <c r="C23" s="18" t="s">
        <v>491</v>
      </c>
      <c r="D23" s="29" t="n">
        <v>0.15</v>
      </c>
      <c r="E23" s="29" t="n">
        <v>-0.78</v>
      </c>
      <c r="F23" s="29" t="n">
        <v>-1.08</v>
      </c>
      <c r="G23" s="28" t="n">
        <v>1350.33</v>
      </c>
      <c r="H23" s="28" t="n">
        <v>8.5</v>
      </c>
      <c r="I23" s="20" t="n">
        <v>1.62251</v>
      </c>
    </row>
    <row r="24" customFormat="false" ht="15" hidden="false" customHeight="false" outlineLevel="0" collapsed="false">
      <c r="A24" s="18" t="n">
        <v>0</v>
      </c>
      <c r="B24" s="18" t="n">
        <v>0</v>
      </c>
      <c r="C24" s="18" t="s">
        <v>491</v>
      </c>
      <c r="D24" s="29" t="n">
        <v>0.2</v>
      </c>
      <c r="E24" s="29" t="n">
        <v>-0.73</v>
      </c>
      <c r="F24" s="29" t="n">
        <v>-1.13</v>
      </c>
      <c r="G24" s="28" t="n">
        <v>1368.67</v>
      </c>
      <c r="H24" s="28" t="n">
        <v>13.43</v>
      </c>
      <c r="I24" s="20" t="n">
        <v>1.64489</v>
      </c>
    </row>
    <row r="25" customFormat="false" ht="15" hidden="false" customHeight="false" outlineLevel="0" collapsed="false">
      <c r="A25" s="18" t="n">
        <v>0</v>
      </c>
      <c r="B25" s="18" t="n">
        <v>0</v>
      </c>
      <c r="C25" s="18" t="s">
        <v>491</v>
      </c>
      <c r="D25" s="29" t="n">
        <v>0.25</v>
      </c>
      <c r="E25" s="29" t="n">
        <v>-0.68</v>
      </c>
      <c r="F25" s="29" t="n">
        <v>-1.18</v>
      </c>
      <c r="G25" s="28" t="n">
        <v>1370.33</v>
      </c>
      <c r="H25" s="28" t="n">
        <v>4.93</v>
      </c>
      <c r="I25" s="20" t="n">
        <v>1.64693</v>
      </c>
    </row>
    <row r="26" customFormat="false" ht="15" hidden="false" customHeight="false" outlineLevel="0" collapsed="false">
      <c r="A26" s="18" t="n">
        <v>0</v>
      </c>
      <c r="B26" s="18" t="n">
        <v>0</v>
      </c>
      <c r="C26" s="18" t="s">
        <v>491</v>
      </c>
      <c r="D26" s="29" t="n">
        <v>0.3</v>
      </c>
      <c r="E26" s="29" t="n">
        <v>-0.63</v>
      </c>
      <c r="F26" s="29" t="n">
        <v>-1.23</v>
      </c>
      <c r="G26" s="28" t="n">
        <v>1367</v>
      </c>
      <c r="H26" s="28" t="n">
        <v>7.55</v>
      </c>
      <c r="I26" s="20" t="n">
        <v>1.64286</v>
      </c>
    </row>
    <row r="27" customFormat="false" ht="15" hidden="false" customHeight="false" outlineLevel="0" collapsed="false">
      <c r="A27" s="18" t="n">
        <v>0</v>
      </c>
      <c r="B27" s="18" t="n">
        <v>0</v>
      </c>
      <c r="C27" s="18" t="s">
        <v>491</v>
      </c>
      <c r="D27" s="29" t="n">
        <v>0.35</v>
      </c>
      <c r="E27" s="29" t="n">
        <v>-0.58</v>
      </c>
      <c r="F27" s="29" t="n">
        <v>-1.28</v>
      </c>
      <c r="G27" s="28" t="n">
        <v>1387.67</v>
      </c>
      <c r="H27" s="28" t="n">
        <v>12.01</v>
      </c>
      <c r="I27" s="20" t="n">
        <v>1.66809</v>
      </c>
    </row>
    <row r="28" customFormat="false" ht="15" hidden="false" customHeight="false" outlineLevel="0" collapsed="false">
      <c r="A28" s="18" t="n">
        <v>0</v>
      </c>
      <c r="B28" s="18" t="n">
        <v>0</v>
      </c>
      <c r="C28" s="18" t="s">
        <v>491</v>
      </c>
      <c r="D28" s="29" t="n">
        <v>0.4</v>
      </c>
      <c r="E28" s="29" t="n">
        <v>-0.53</v>
      </c>
      <c r="F28" s="29" t="n">
        <v>-1.33</v>
      </c>
      <c r="G28" s="28" t="n">
        <v>1393</v>
      </c>
      <c r="H28" s="28" t="n">
        <v>6.56</v>
      </c>
      <c r="I28" s="20" t="n">
        <v>1.6746</v>
      </c>
    </row>
    <row r="29" customFormat="false" ht="15" hidden="false" customHeight="false" outlineLevel="0" collapsed="false">
      <c r="A29" s="18" t="n">
        <v>0</v>
      </c>
      <c r="B29" s="18" t="n">
        <v>0</v>
      </c>
      <c r="C29" s="18" t="s">
        <v>491</v>
      </c>
      <c r="D29" s="29" t="n">
        <v>0.45</v>
      </c>
      <c r="E29" s="29" t="n">
        <v>-0.48</v>
      </c>
      <c r="F29" s="29" t="n">
        <v>-1.38</v>
      </c>
      <c r="G29" s="28" t="n">
        <v>1414.33</v>
      </c>
      <c r="H29" s="28" t="n">
        <v>13.43</v>
      </c>
      <c r="I29" s="20" t="n">
        <v>1.70065</v>
      </c>
    </row>
    <row r="30" customFormat="false" ht="15" hidden="false" customHeight="false" outlineLevel="0" collapsed="false">
      <c r="A30" s="18" t="n">
        <v>0</v>
      </c>
      <c r="B30" s="18" t="n">
        <v>0</v>
      </c>
      <c r="C30" s="18" t="s">
        <v>491</v>
      </c>
      <c r="D30" s="29" t="n">
        <v>0.5</v>
      </c>
      <c r="E30" s="29" t="n">
        <v>-0.43</v>
      </c>
      <c r="F30" s="29" t="n">
        <v>-1.43</v>
      </c>
      <c r="G30" s="28" t="n">
        <v>1419</v>
      </c>
      <c r="H30" s="28" t="n">
        <v>6.93</v>
      </c>
      <c r="I30" s="20" t="n">
        <v>1.70635</v>
      </c>
    </row>
    <row r="31" customFormat="false" ht="15" hidden="false" customHeight="false" outlineLevel="0" collapsed="false">
      <c r="A31" s="18" t="n">
        <v>0</v>
      </c>
      <c r="B31" s="18" t="n">
        <v>0</v>
      </c>
      <c r="C31" s="18" t="s">
        <v>491</v>
      </c>
      <c r="D31" s="29" t="n">
        <v>0.55</v>
      </c>
      <c r="E31" s="29" t="n">
        <v>-0.38</v>
      </c>
      <c r="F31" s="29" t="n">
        <v>-1.48</v>
      </c>
      <c r="G31" s="28" t="n">
        <v>1441</v>
      </c>
      <c r="H31" s="28" t="n">
        <v>5.57</v>
      </c>
      <c r="I31" s="20" t="n">
        <v>1.73321</v>
      </c>
    </row>
    <row r="32" customFormat="false" ht="15" hidden="false" customHeight="false" outlineLevel="0" collapsed="false">
      <c r="A32" s="18" t="n">
        <v>0</v>
      </c>
      <c r="B32" s="18" t="n">
        <v>0</v>
      </c>
      <c r="C32" s="18" t="s">
        <v>491</v>
      </c>
      <c r="D32" s="29" t="n">
        <v>0.6</v>
      </c>
      <c r="E32" s="29" t="n">
        <v>-0.33</v>
      </c>
      <c r="F32" s="29" t="n">
        <v>-1.53</v>
      </c>
      <c r="G32" s="28" t="n">
        <v>1437.67</v>
      </c>
      <c r="H32" s="28" t="n">
        <v>1.53</v>
      </c>
      <c r="I32" s="20" t="n">
        <v>1.72914</v>
      </c>
    </row>
    <row r="33" customFormat="false" ht="15" hidden="false" customHeight="false" outlineLevel="0" collapsed="false">
      <c r="A33" s="18" t="n">
        <v>0</v>
      </c>
      <c r="B33" s="18" t="n">
        <v>0</v>
      </c>
      <c r="C33" s="18" t="s">
        <v>491</v>
      </c>
      <c r="D33" s="29" t="n">
        <v>0.65</v>
      </c>
      <c r="E33" s="29" t="n">
        <v>-0.28</v>
      </c>
      <c r="F33" s="29" t="n">
        <v>-1.58</v>
      </c>
      <c r="G33" s="28" t="n">
        <v>1454.33</v>
      </c>
      <c r="H33" s="28" t="n">
        <v>5.69</v>
      </c>
      <c r="I33" s="20" t="n">
        <v>1.74949</v>
      </c>
    </row>
    <row r="34" customFormat="false" ht="15" hidden="false" customHeight="false" outlineLevel="0" collapsed="false">
      <c r="A34" s="18" t="n">
        <v>0</v>
      </c>
      <c r="B34" s="18" t="n">
        <v>0</v>
      </c>
      <c r="C34" s="18" t="s">
        <v>491</v>
      </c>
      <c r="D34" s="29" t="n">
        <v>0.7</v>
      </c>
      <c r="E34" s="29" t="n">
        <v>-0.23</v>
      </c>
      <c r="F34" s="29" t="n">
        <v>-1.63</v>
      </c>
      <c r="G34" s="28" t="n">
        <v>1486.33</v>
      </c>
      <c r="H34" s="28" t="n">
        <v>4.93</v>
      </c>
      <c r="I34" s="20" t="n">
        <v>1.78856</v>
      </c>
    </row>
    <row r="35" customFormat="false" ht="15" hidden="false" customHeight="false" outlineLevel="0" collapsed="false">
      <c r="A35" s="18" t="n">
        <v>0</v>
      </c>
      <c r="B35" s="18" t="n">
        <v>1</v>
      </c>
      <c r="C35" s="18" t="s">
        <v>492</v>
      </c>
      <c r="D35" s="29" t="n">
        <v>-0.8</v>
      </c>
      <c r="E35" s="29" t="n">
        <v>-1.73</v>
      </c>
      <c r="F35" s="29" t="n">
        <v>-0.13</v>
      </c>
      <c r="G35" s="28" t="n">
        <v>1568.67</v>
      </c>
      <c r="H35" s="28" t="n">
        <v>6.43</v>
      </c>
      <c r="I35" s="20" t="n">
        <v>1.77523</v>
      </c>
    </row>
    <row r="36" customFormat="false" ht="15" hidden="false" customHeight="false" outlineLevel="0" collapsed="false">
      <c r="A36" s="18" t="n">
        <v>0</v>
      </c>
      <c r="B36" s="18" t="n">
        <v>1</v>
      </c>
      <c r="C36" s="18" t="s">
        <v>492</v>
      </c>
      <c r="D36" s="29" t="n">
        <v>-0.75</v>
      </c>
      <c r="E36" s="29" t="n">
        <v>-1.68</v>
      </c>
      <c r="F36" s="29" t="n">
        <v>-0.18</v>
      </c>
      <c r="G36" s="28" t="n">
        <v>1554.33</v>
      </c>
      <c r="H36" s="28" t="n">
        <v>11.37</v>
      </c>
      <c r="I36" s="20" t="n">
        <v>1.75773</v>
      </c>
    </row>
    <row r="37" customFormat="false" ht="15" hidden="false" customHeight="false" outlineLevel="0" collapsed="false">
      <c r="A37" s="18" t="n">
        <v>0</v>
      </c>
      <c r="B37" s="18" t="n">
        <v>1</v>
      </c>
      <c r="C37" s="18" t="s">
        <v>492</v>
      </c>
      <c r="D37" s="29" t="n">
        <v>-0.7</v>
      </c>
      <c r="E37" s="29" t="n">
        <v>-1.63</v>
      </c>
      <c r="F37" s="29" t="n">
        <v>-0.23</v>
      </c>
      <c r="G37" s="28" t="n">
        <v>1542.33</v>
      </c>
      <c r="H37" s="28" t="n">
        <v>7.57</v>
      </c>
      <c r="I37" s="20" t="n">
        <v>1.74308</v>
      </c>
    </row>
    <row r="38" customFormat="false" ht="15" hidden="false" customHeight="false" outlineLevel="0" collapsed="false">
      <c r="A38" s="18" t="n">
        <v>0</v>
      </c>
      <c r="B38" s="18" t="n">
        <v>1</v>
      </c>
      <c r="C38" s="18" t="s">
        <v>492</v>
      </c>
      <c r="D38" s="29" t="n">
        <v>-0.65</v>
      </c>
      <c r="E38" s="29" t="n">
        <v>-1.58</v>
      </c>
      <c r="F38" s="29" t="n">
        <v>-0.28</v>
      </c>
      <c r="G38" s="28" t="n">
        <v>1529</v>
      </c>
      <c r="H38" s="28" t="n">
        <v>18.52</v>
      </c>
      <c r="I38" s="20" t="n">
        <v>1.7268</v>
      </c>
    </row>
    <row r="39" customFormat="false" ht="15" hidden="false" customHeight="false" outlineLevel="0" collapsed="false">
      <c r="A39" s="18" t="n">
        <v>0</v>
      </c>
      <c r="B39" s="18" t="n">
        <v>1</v>
      </c>
      <c r="C39" s="18" t="s">
        <v>492</v>
      </c>
      <c r="D39" s="29" t="n">
        <v>-0.6</v>
      </c>
      <c r="E39" s="29" t="n">
        <v>-1.53</v>
      </c>
      <c r="F39" s="29" t="n">
        <v>-0.33</v>
      </c>
      <c r="G39" s="28" t="n">
        <v>1517</v>
      </c>
      <c r="H39" s="28" t="n">
        <v>7.81</v>
      </c>
      <c r="I39" s="20" t="n">
        <v>1.71215</v>
      </c>
    </row>
    <row r="40" customFormat="false" ht="15" hidden="false" customHeight="false" outlineLevel="0" collapsed="false">
      <c r="A40" s="18" t="n">
        <v>0</v>
      </c>
      <c r="B40" s="18" t="n">
        <v>1</v>
      </c>
      <c r="C40" s="18" t="s">
        <v>492</v>
      </c>
      <c r="D40" s="29" t="n">
        <v>-0.55</v>
      </c>
      <c r="E40" s="29" t="n">
        <v>-1.48</v>
      </c>
      <c r="F40" s="29" t="n">
        <v>-0.38</v>
      </c>
      <c r="G40" s="28" t="n">
        <v>1510.67</v>
      </c>
      <c r="H40" s="28" t="n">
        <v>8.14</v>
      </c>
      <c r="I40" s="20" t="n">
        <v>1.70442</v>
      </c>
    </row>
    <row r="41" customFormat="false" ht="15" hidden="false" customHeight="false" outlineLevel="0" collapsed="false">
      <c r="A41" s="18" t="n">
        <v>0</v>
      </c>
      <c r="B41" s="18" t="n">
        <v>1</v>
      </c>
      <c r="C41" s="18" t="s">
        <v>492</v>
      </c>
      <c r="D41" s="29" t="n">
        <v>-0.5</v>
      </c>
      <c r="E41" s="29" t="n">
        <v>-1.43</v>
      </c>
      <c r="F41" s="29" t="n">
        <v>-0.43</v>
      </c>
      <c r="G41" s="28" t="n">
        <v>1495.33</v>
      </c>
      <c r="H41" s="28" t="n">
        <v>4.51</v>
      </c>
      <c r="I41" s="20" t="n">
        <v>1.68569</v>
      </c>
    </row>
    <row r="42" customFormat="false" ht="15" hidden="false" customHeight="false" outlineLevel="0" collapsed="false">
      <c r="A42" s="18" t="n">
        <v>0</v>
      </c>
      <c r="B42" s="18" t="n">
        <v>1</v>
      </c>
      <c r="C42" s="18" t="s">
        <v>492</v>
      </c>
      <c r="D42" s="29" t="n">
        <v>-0.45</v>
      </c>
      <c r="E42" s="29" t="n">
        <v>-1.38</v>
      </c>
      <c r="F42" s="29" t="n">
        <v>-0.48</v>
      </c>
      <c r="G42" s="28" t="n">
        <v>1494.33</v>
      </c>
      <c r="H42" s="28" t="n">
        <v>2.89</v>
      </c>
      <c r="I42" s="20" t="n">
        <v>1.68447</v>
      </c>
    </row>
    <row r="43" customFormat="false" ht="15" hidden="false" customHeight="false" outlineLevel="0" collapsed="false">
      <c r="A43" s="18" t="n">
        <v>0</v>
      </c>
      <c r="B43" s="18" t="n">
        <v>1</v>
      </c>
      <c r="C43" s="18" t="s">
        <v>492</v>
      </c>
      <c r="D43" s="29" t="n">
        <v>-0.4</v>
      </c>
      <c r="E43" s="29" t="n">
        <v>-1.33</v>
      </c>
      <c r="F43" s="29" t="n">
        <v>-0.53</v>
      </c>
      <c r="G43" s="28" t="n">
        <v>1480.33</v>
      </c>
      <c r="H43" s="28" t="n">
        <v>6.11</v>
      </c>
      <c r="I43" s="20" t="n">
        <v>1.66738</v>
      </c>
    </row>
    <row r="44" customFormat="false" ht="15" hidden="false" customHeight="false" outlineLevel="0" collapsed="false">
      <c r="A44" s="18" t="n">
        <v>0</v>
      </c>
      <c r="B44" s="18" t="n">
        <v>1</v>
      </c>
      <c r="C44" s="18" t="s">
        <v>492</v>
      </c>
      <c r="D44" s="29" t="n">
        <v>-0.35</v>
      </c>
      <c r="E44" s="29" t="n">
        <v>-1.28</v>
      </c>
      <c r="F44" s="29" t="n">
        <v>-0.58</v>
      </c>
      <c r="G44" s="28" t="n">
        <v>1483</v>
      </c>
      <c r="H44" s="28" t="n">
        <v>11.36</v>
      </c>
      <c r="I44" s="20" t="n">
        <v>1.67063</v>
      </c>
    </row>
    <row r="45" customFormat="false" ht="15" hidden="false" customHeight="false" outlineLevel="0" collapsed="false">
      <c r="A45" s="18" t="n">
        <v>0</v>
      </c>
      <c r="B45" s="18" t="n">
        <v>1</v>
      </c>
      <c r="C45" s="18" t="s">
        <v>492</v>
      </c>
      <c r="D45" s="29" t="n">
        <v>-0.3</v>
      </c>
      <c r="E45" s="29" t="n">
        <v>-1.23</v>
      </c>
      <c r="F45" s="29" t="n">
        <v>-0.63</v>
      </c>
      <c r="G45" s="28" t="n">
        <v>1475.67</v>
      </c>
      <c r="H45" s="28" t="n">
        <v>13.87</v>
      </c>
      <c r="I45" s="20" t="n">
        <v>1.66168</v>
      </c>
    </row>
    <row r="46" customFormat="false" ht="15" hidden="false" customHeight="false" outlineLevel="0" collapsed="false">
      <c r="A46" s="18" t="n">
        <v>0</v>
      </c>
      <c r="B46" s="18" t="n">
        <v>1</v>
      </c>
      <c r="C46" s="18" t="s">
        <v>492</v>
      </c>
      <c r="D46" s="29" t="n">
        <v>-0.25</v>
      </c>
      <c r="E46" s="29" t="n">
        <v>-1.18</v>
      </c>
      <c r="F46" s="29" t="n">
        <v>-0.68</v>
      </c>
      <c r="G46" s="28" t="n">
        <v>1470.67</v>
      </c>
      <c r="H46" s="28" t="n">
        <v>22.74</v>
      </c>
      <c r="I46" s="20" t="n">
        <v>1.65558</v>
      </c>
    </row>
    <row r="47" customFormat="false" ht="15" hidden="false" customHeight="false" outlineLevel="0" collapsed="false">
      <c r="A47" s="18" t="n">
        <v>0</v>
      </c>
      <c r="B47" s="18" t="n">
        <v>1</v>
      </c>
      <c r="C47" s="18" t="s">
        <v>492</v>
      </c>
      <c r="D47" s="29" t="n">
        <v>-0.2</v>
      </c>
      <c r="E47" s="29" t="n">
        <v>-1.13</v>
      </c>
      <c r="F47" s="29" t="n">
        <v>-0.73</v>
      </c>
      <c r="G47" s="28" t="n">
        <v>1458</v>
      </c>
      <c r="H47" s="28" t="n">
        <v>10.54</v>
      </c>
      <c r="I47" s="20" t="n">
        <v>1.64011</v>
      </c>
    </row>
    <row r="48" customFormat="false" ht="15" hidden="false" customHeight="false" outlineLevel="0" collapsed="false">
      <c r="A48" s="18" t="n">
        <v>0</v>
      </c>
      <c r="B48" s="18" t="n">
        <v>1</v>
      </c>
      <c r="C48" s="18" t="s">
        <v>492</v>
      </c>
      <c r="D48" s="29" t="n">
        <v>-0.15</v>
      </c>
      <c r="E48" s="29" t="n">
        <v>-1.08</v>
      </c>
      <c r="F48" s="29" t="n">
        <v>-0.78</v>
      </c>
      <c r="G48" s="28" t="n">
        <v>1453.33</v>
      </c>
      <c r="H48" s="28" t="n">
        <v>4.73</v>
      </c>
      <c r="I48" s="20" t="n">
        <v>1.63441</v>
      </c>
    </row>
    <row r="49" customFormat="false" ht="15" hidden="false" customHeight="false" outlineLevel="0" collapsed="false">
      <c r="A49" s="18" t="n">
        <v>0</v>
      </c>
      <c r="B49" s="18" t="n">
        <v>1</v>
      </c>
      <c r="C49" s="18" t="s">
        <v>492</v>
      </c>
      <c r="D49" s="29" t="n">
        <v>-0.1</v>
      </c>
      <c r="E49" s="29" t="n">
        <v>-1.03</v>
      </c>
      <c r="F49" s="29" t="n">
        <v>-0.83</v>
      </c>
      <c r="G49" s="28" t="n">
        <v>1457</v>
      </c>
      <c r="H49" s="28" t="n">
        <v>11.36</v>
      </c>
      <c r="I49" s="20" t="n">
        <v>1.63889</v>
      </c>
    </row>
    <row r="50" customFormat="false" ht="15" hidden="false" customHeight="false" outlineLevel="0" collapsed="false">
      <c r="A50" s="18" t="n">
        <v>0</v>
      </c>
      <c r="B50" s="18" t="n">
        <v>1</v>
      </c>
      <c r="C50" s="18" t="s">
        <v>492</v>
      </c>
      <c r="D50" s="29" t="n">
        <v>-0.05</v>
      </c>
      <c r="E50" s="29" t="n">
        <v>-0.98</v>
      </c>
      <c r="F50" s="29" t="n">
        <v>-0.88</v>
      </c>
      <c r="G50" s="28" t="n">
        <v>1465.67</v>
      </c>
      <c r="H50" s="28" t="n">
        <v>11.24</v>
      </c>
      <c r="I50" s="20" t="n">
        <v>1.64947</v>
      </c>
    </row>
    <row r="51" customFormat="false" ht="15" hidden="false" customHeight="false" outlineLevel="0" collapsed="false">
      <c r="A51" s="18" t="n">
        <v>0</v>
      </c>
      <c r="B51" s="18" t="n">
        <v>1</v>
      </c>
      <c r="C51" s="18" t="s">
        <v>492</v>
      </c>
      <c r="D51" s="29" t="n">
        <v>0</v>
      </c>
      <c r="E51" s="29" t="n">
        <v>-0.93</v>
      </c>
      <c r="F51" s="29" t="n">
        <v>-0.93</v>
      </c>
      <c r="G51" s="28" t="n">
        <v>1461</v>
      </c>
      <c r="H51" s="28" t="n">
        <v>3.61</v>
      </c>
      <c r="I51" s="20" t="n">
        <v>1.64377</v>
      </c>
    </row>
    <row r="52" customFormat="false" ht="15" hidden="false" customHeight="false" outlineLevel="0" collapsed="false">
      <c r="A52" s="18" t="n">
        <v>0</v>
      </c>
      <c r="B52" s="18" t="n">
        <v>1</v>
      </c>
      <c r="C52" s="18" t="s">
        <v>492</v>
      </c>
      <c r="D52" s="29" t="n">
        <v>0.05</v>
      </c>
      <c r="E52" s="29" t="n">
        <v>-0.88</v>
      </c>
      <c r="F52" s="29" t="n">
        <v>-0.98</v>
      </c>
      <c r="G52" s="28" t="n">
        <v>1468.67</v>
      </c>
      <c r="H52" s="28" t="n">
        <v>13.43</v>
      </c>
      <c r="I52" s="20" t="n">
        <v>1.65313</v>
      </c>
    </row>
    <row r="53" customFormat="false" ht="15" hidden="false" customHeight="false" outlineLevel="0" collapsed="false">
      <c r="A53" s="18" t="n">
        <v>0</v>
      </c>
      <c r="B53" s="18" t="n">
        <v>1</v>
      </c>
      <c r="C53" s="18" t="s">
        <v>492</v>
      </c>
      <c r="D53" s="29" t="n">
        <v>0.1</v>
      </c>
      <c r="E53" s="29" t="n">
        <v>-0.83</v>
      </c>
      <c r="F53" s="29" t="n">
        <v>-1.03</v>
      </c>
      <c r="G53" s="28" t="n">
        <v>1467</v>
      </c>
      <c r="H53" s="28" t="n">
        <v>10.58</v>
      </c>
      <c r="I53" s="20" t="n">
        <v>1.6511</v>
      </c>
    </row>
    <row r="54" customFormat="false" ht="15" hidden="false" customHeight="false" outlineLevel="0" collapsed="false">
      <c r="A54" s="18" t="n">
        <v>0</v>
      </c>
      <c r="B54" s="18" t="n">
        <v>1</v>
      </c>
      <c r="C54" s="18" t="s">
        <v>492</v>
      </c>
      <c r="D54" s="29" t="n">
        <v>0.15</v>
      </c>
      <c r="E54" s="29" t="n">
        <v>-0.78</v>
      </c>
      <c r="F54" s="29" t="n">
        <v>-1.08</v>
      </c>
      <c r="G54" s="28" t="n">
        <v>1465.33</v>
      </c>
      <c r="H54" s="28" t="n">
        <v>7.37</v>
      </c>
      <c r="I54" s="20" t="n">
        <v>1.64906</v>
      </c>
    </row>
    <row r="55" customFormat="false" ht="15" hidden="false" customHeight="false" outlineLevel="0" collapsed="false">
      <c r="A55" s="18" t="n">
        <v>0</v>
      </c>
      <c r="B55" s="18" t="n">
        <v>1</v>
      </c>
      <c r="C55" s="18" t="s">
        <v>492</v>
      </c>
      <c r="D55" s="29" t="n">
        <v>0.2</v>
      </c>
      <c r="E55" s="29" t="n">
        <v>-0.73</v>
      </c>
      <c r="F55" s="29" t="n">
        <v>-1.13</v>
      </c>
      <c r="G55" s="28" t="n">
        <v>1472.33</v>
      </c>
      <c r="H55" s="28" t="n">
        <v>5.13</v>
      </c>
      <c r="I55" s="20" t="n">
        <v>1.65761</v>
      </c>
    </row>
    <row r="56" customFormat="false" ht="15" hidden="false" customHeight="false" outlineLevel="0" collapsed="false">
      <c r="A56" s="18" t="n">
        <v>0</v>
      </c>
      <c r="B56" s="18" t="n">
        <v>1</v>
      </c>
      <c r="C56" s="18" t="s">
        <v>492</v>
      </c>
      <c r="D56" s="29" t="n">
        <v>0.25</v>
      </c>
      <c r="E56" s="29" t="n">
        <v>-0.68</v>
      </c>
      <c r="F56" s="29" t="n">
        <v>-1.18</v>
      </c>
      <c r="G56" s="28" t="n">
        <v>1475</v>
      </c>
      <c r="H56" s="28" t="n">
        <v>7.81</v>
      </c>
      <c r="I56" s="20" t="n">
        <v>1.66087</v>
      </c>
    </row>
    <row r="57" customFormat="false" ht="15" hidden="false" customHeight="false" outlineLevel="0" collapsed="false">
      <c r="A57" s="18" t="n">
        <v>0</v>
      </c>
      <c r="B57" s="18" t="n">
        <v>1</v>
      </c>
      <c r="C57" s="18" t="s">
        <v>492</v>
      </c>
      <c r="D57" s="29" t="n">
        <v>0.3</v>
      </c>
      <c r="E57" s="29" t="n">
        <v>-0.63</v>
      </c>
      <c r="F57" s="29" t="n">
        <v>-1.23</v>
      </c>
      <c r="G57" s="28" t="n">
        <v>1502.33</v>
      </c>
      <c r="H57" s="28" t="n">
        <v>18.01</v>
      </c>
      <c r="I57" s="20" t="n">
        <v>1.69424</v>
      </c>
    </row>
    <row r="58" customFormat="false" ht="15" hidden="false" customHeight="false" outlineLevel="0" collapsed="false">
      <c r="A58" s="18" t="n">
        <v>0</v>
      </c>
      <c r="B58" s="18" t="n">
        <v>1</v>
      </c>
      <c r="C58" s="18" t="s">
        <v>492</v>
      </c>
      <c r="D58" s="29" t="n">
        <v>0.35</v>
      </c>
      <c r="E58" s="29" t="n">
        <v>-0.58</v>
      </c>
      <c r="F58" s="29" t="n">
        <v>-1.28</v>
      </c>
      <c r="G58" s="28" t="n">
        <v>1496</v>
      </c>
      <c r="H58" s="28" t="n">
        <v>9</v>
      </c>
      <c r="I58" s="20" t="n">
        <v>1.68651</v>
      </c>
    </row>
    <row r="59" customFormat="false" ht="15" hidden="false" customHeight="false" outlineLevel="0" collapsed="false">
      <c r="A59" s="18" t="n">
        <v>0</v>
      </c>
      <c r="B59" s="18" t="n">
        <v>1</v>
      </c>
      <c r="C59" s="18" t="s">
        <v>492</v>
      </c>
      <c r="D59" s="29" t="n">
        <v>0.4</v>
      </c>
      <c r="E59" s="29" t="n">
        <v>-0.53</v>
      </c>
      <c r="F59" s="29" t="n">
        <v>-1.33</v>
      </c>
      <c r="G59" s="28" t="n">
        <v>1507.67</v>
      </c>
      <c r="H59" s="28" t="n">
        <v>14.43</v>
      </c>
      <c r="I59" s="20" t="n">
        <v>1.70075</v>
      </c>
    </row>
    <row r="60" customFormat="false" ht="15" hidden="false" customHeight="false" outlineLevel="0" collapsed="false">
      <c r="A60" s="18" t="n">
        <v>0</v>
      </c>
      <c r="B60" s="18" t="n">
        <v>1</v>
      </c>
      <c r="C60" s="18" t="s">
        <v>492</v>
      </c>
      <c r="D60" s="29" t="n">
        <v>0.45</v>
      </c>
      <c r="E60" s="29" t="n">
        <v>-0.48</v>
      </c>
      <c r="F60" s="29" t="n">
        <v>-1.38</v>
      </c>
      <c r="G60" s="28" t="n">
        <v>1517.67</v>
      </c>
      <c r="H60" s="28" t="n">
        <v>4.04</v>
      </c>
      <c r="I60" s="20" t="n">
        <v>1.71296</v>
      </c>
    </row>
    <row r="61" customFormat="false" ht="15" hidden="false" customHeight="false" outlineLevel="0" collapsed="false">
      <c r="A61" s="18" t="n">
        <v>0</v>
      </c>
      <c r="B61" s="18" t="n">
        <v>1</v>
      </c>
      <c r="C61" s="18" t="s">
        <v>492</v>
      </c>
      <c r="D61" s="29" t="n">
        <v>0.5</v>
      </c>
      <c r="E61" s="29" t="n">
        <v>-0.43</v>
      </c>
      <c r="F61" s="29" t="n">
        <v>-1.43</v>
      </c>
      <c r="G61" s="28" t="n">
        <v>1536</v>
      </c>
      <c r="H61" s="28" t="n">
        <v>7.55</v>
      </c>
      <c r="I61" s="20" t="n">
        <v>1.73535</v>
      </c>
    </row>
    <row r="62" customFormat="false" ht="15" hidden="false" customHeight="false" outlineLevel="0" collapsed="false">
      <c r="A62" s="18" t="n">
        <v>0</v>
      </c>
      <c r="B62" s="18" t="n">
        <v>1</v>
      </c>
      <c r="C62" s="18" t="s">
        <v>492</v>
      </c>
      <c r="D62" s="29" t="n">
        <v>0.55</v>
      </c>
      <c r="E62" s="29" t="n">
        <v>-0.38</v>
      </c>
      <c r="F62" s="29" t="n">
        <v>-1.48</v>
      </c>
      <c r="G62" s="28" t="n">
        <v>1542.33</v>
      </c>
      <c r="H62" s="28" t="n">
        <v>11.59</v>
      </c>
      <c r="I62" s="20" t="n">
        <v>1.74308</v>
      </c>
    </row>
    <row r="63" customFormat="false" ht="15" hidden="false" customHeight="false" outlineLevel="0" collapsed="false">
      <c r="A63" s="18" t="n">
        <v>0</v>
      </c>
      <c r="B63" s="18" t="n">
        <v>1</v>
      </c>
      <c r="C63" s="18" t="s">
        <v>492</v>
      </c>
      <c r="D63" s="29" t="n">
        <v>0.6</v>
      </c>
      <c r="E63" s="29" t="n">
        <v>-0.33</v>
      </c>
      <c r="F63" s="29" t="n">
        <v>-1.53</v>
      </c>
      <c r="G63" s="28" t="n">
        <v>1559.67</v>
      </c>
      <c r="H63" s="28" t="n">
        <v>4.51</v>
      </c>
      <c r="I63" s="20" t="n">
        <v>1.76425</v>
      </c>
    </row>
    <row r="64" customFormat="false" ht="15" hidden="false" customHeight="false" outlineLevel="0" collapsed="false">
      <c r="A64" s="18" t="n">
        <v>0</v>
      </c>
      <c r="B64" s="18" t="n">
        <v>1</v>
      </c>
      <c r="C64" s="18" t="s">
        <v>492</v>
      </c>
      <c r="D64" s="29" t="n">
        <v>0.65</v>
      </c>
      <c r="E64" s="29" t="n">
        <v>-0.28</v>
      </c>
      <c r="F64" s="29" t="n">
        <v>-1.58</v>
      </c>
      <c r="G64" s="28" t="n">
        <v>1579.67</v>
      </c>
      <c r="H64" s="28" t="n">
        <v>6.43</v>
      </c>
      <c r="I64" s="20" t="n">
        <v>1.78867</v>
      </c>
    </row>
    <row r="65" customFormat="false" ht="15" hidden="false" customHeight="false" outlineLevel="0" collapsed="false">
      <c r="A65" s="18" t="n">
        <v>0</v>
      </c>
      <c r="B65" s="18" t="n">
        <v>1</v>
      </c>
      <c r="C65" s="18" t="s">
        <v>492</v>
      </c>
      <c r="D65" s="29" t="n">
        <v>0.7</v>
      </c>
      <c r="E65" s="29" t="n">
        <v>-0.23</v>
      </c>
      <c r="F65" s="29" t="n">
        <v>-1.63</v>
      </c>
      <c r="G65" s="28" t="n">
        <v>1589.33</v>
      </c>
      <c r="H65" s="28" t="n">
        <v>11.24</v>
      </c>
      <c r="I65" s="20" t="n">
        <v>1.80047</v>
      </c>
    </row>
    <row r="66" customFormat="false" ht="15" hidden="false" customHeight="false" outlineLevel="0" collapsed="false">
      <c r="A66" s="18" t="n">
        <v>1</v>
      </c>
      <c r="B66" s="18" t="n">
        <v>0</v>
      </c>
      <c r="C66" s="18" t="s">
        <v>494</v>
      </c>
      <c r="D66" s="29" t="n">
        <v>-0.7</v>
      </c>
      <c r="E66" s="29" t="n">
        <v>-1.63</v>
      </c>
      <c r="F66" s="29" t="n">
        <v>-0.23</v>
      </c>
      <c r="G66" s="28" t="n">
        <v>1490.67</v>
      </c>
      <c r="H66" s="28" t="n">
        <v>10.02</v>
      </c>
      <c r="I66" s="20" t="n">
        <v>1.79385</v>
      </c>
    </row>
    <row r="67" customFormat="false" ht="15" hidden="false" customHeight="false" outlineLevel="0" collapsed="false">
      <c r="A67" s="18" t="n">
        <v>1</v>
      </c>
      <c r="B67" s="18" t="n">
        <v>0</v>
      </c>
      <c r="C67" s="18" t="s">
        <v>494</v>
      </c>
      <c r="D67" s="29" t="n">
        <v>-0.65</v>
      </c>
      <c r="E67" s="29" t="n">
        <v>-1.58</v>
      </c>
      <c r="F67" s="29" t="n">
        <v>-0.28</v>
      </c>
      <c r="G67" s="28" t="n">
        <v>1473.67</v>
      </c>
      <c r="H67" s="28" t="n">
        <v>16.65</v>
      </c>
      <c r="I67" s="20" t="n">
        <v>1.7731</v>
      </c>
    </row>
    <row r="68" customFormat="false" ht="15" hidden="false" customHeight="false" outlineLevel="0" collapsed="false">
      <c r="A68" s="18" t="n">
        <v>1</v>
      </c>
      <c r="B68" s="18" t="n">
        <v>0</v>
      </c>
      <c r="C68" s="18" t="s">
        <v>494</v>
      </c>
      <c r="D68" s="29" t="n">
        <v>-0.6</v>
      </c>
      <c r="E68" s="29" t="n">
        <v>-1.53</v>
      </c>
      <c r="F68" s="29" t="n">
        <v>-0.33</v>
      </c>
      <c r="G68" s="28" t="n">
        <v>1453.33</v>
      </c>
      <c r="H68" s="28" t="n">
        <v>8.39</v>
      </c>
      <c r="I68" s="20" t="n">
        <v>1.74827</v>
      </c>
    </row>
    <row r="69" customFormat="false" ht="15" hidden="false" customHeight="false" outlineLevel="0" collapsed="false">
      <c r="A69" s="18" t="n">
        <v>1</v>
      </c>
      <c r="B69" s="18" t="n">
        <v>0</v>
      </c>
      <c r="C69" s="18" t="s">
        <v>494</v>
      </c>
      <c r="D69" s="29" t="n">
        <v>-0.55</v>
      </c>
      <c r="E69" s="29" t="n">
        <v>-1.48</v>
      </c>
      <c r="F69" s="29" t="n">
        <v>-0.38</v>
      </c>
      <c r="G69" s="28" t="n">
        <v>1438.33</v>
      </c>
      <c r="H69" s="28" t="n">
        <v>8.5</v>
      </c>
      <c r="I69" s="20" t="n">
        <v>1.72996</v>
      </c>
    </row>
    <row r="70" customFormat="false" ht="15" hidden="false" customHeight="false" outlineLevel="0" collapsed="false">
      <c r="A70" s="18" t="n">
        <v>1</v>
      </c>
      <c r="B70" s="18" t="n">
        <v>0</v>
      </c>
      <c r="C70" s="18" t="s">
        <v>494</v>
      </c>
      <c r="D70" s="29" t="n">
        <v>-0.5</v>
      </c>
      <c r="E70" s="29" t="n">
        <v>-1.43</v>
      </c>
      <c r="F70" s="29" t="n">
        <v>-0.43</v>
      </c>
      <c r="G70" s="28" t="n">
        <v>1432.67</v>
      </c>
      <c r="H70" s="28" t="n">
        <v>6.03</v>
      </c>
      <c r="I70" s="20" t="n">
        <v>1.72304</v>
      </c>
    </row>
    <row r="71" customFormat="false" ht="15" hidden="false" customHeight="false" outlineLevel="0" collapsed="false">
      <c r="A71" s="18" t="n">
        <v>1</v>
      </c>
      <c r="B71" s="18" t="n">
        <v>0</v>
      </c>
      <c r="C71" s="18" t="s">
        <v>494</v>
      </c>
      <c r="D71" s="29" t="n">
        <v>-0.45</v>
      </c>
      <c r="E71" s="29" t="n">
        <v>-1.38</v>
      </c>
      <c r="F71" s="29" t="n">
        <v>-0.48</v>
      </c>
      <c r="G71" s="28" t="n">
        <v>1407.67</v>
      </c>
      <c r="H71" s="28" t="n">
        <v>3.51</v>
      </c>
      <c r="I71" s="20" t="n">
        <v>1.69251</v>
      </c>
    </row>
    <row r="72" customFormat="false" ht="15" hidden="false" customHeight="false" outlineLevel="0" collapsed="false">
      <c r="A72" s="18" t="n">
        <v>1</v>
      </c>
      <c r="B72" s="18" t="n">
        <v>0</v>
      </c>
      <c r="C72" s="18" t="s">
        <v>494</v>
      </c>
      <c r="D72" s="29" t="n">
        <v>-0.4</v>
      </c>
      <c r="E72" s="29" t="n">
        <v>-1.33</v>
      </c>
      <c r="F72" s="29" t="n">
        <v>-0.53</v>
      </c>
      <c r="G72" s="28" t="n">
        <v>1397.67</v>
      </c>
      <c r="H72" s="28" t="n">
        <v>4.04</v>
      </c>
      <c r="I72" s="20" t="n">
        <v>1.6803</v>
      </c>
    </row>
    <row r="73" customFormat="false" ht="15" hidden="false" customHeight="false" outlineLevel="0" collapsed="false">
      <c r="A73" s="18" t="n">
        <v>1</v>
      </c>
      <c r="B73" s="18" t="n">
        <v>0</v>
      </c>
      <c r="C73" s="18" t="s">
        <v>494</v>
      </c>
      <c r="D73" s="29" t="n">
        <v>-0.35</v>
      </c>
      <c r="E73" s="29" t="n">
        <v>-1.28</v>
      </c>
      <c r="F73" s="29" t="n">
        <v>-0.58</v>
      </c>
      <c r="G73" s="28" t="n">
        <v>1390.33</v>
      </c>
      <c r="H73" s="28" t="n">
        <v>8.08</v>
      </c>
      <c r="I73" s="20" t="n">
        <v>1.67135</v>
      </c>
    </row>
    <row r="74" customFormat="false" ht="15" hidden="false" customHeight="false" outlineLevel="0" collapsed="false">
      <c r="A74" s="18" t="n">
        <v>1</v>
      </c>
      <c r="B74" s="18" t="n">
        <v>0</v>
      </c>
      <c r="C74" s="18" t="s">
        <v>494</v>
      </c>
      <c r="D74" s="29" t="n">
        <v>-0.3</v>
      </c>
      <c r="E74" s="29" t="n">
        <v>-1.23</v>
      </c>
      <c r="F74" s="29" t="n">
        <v>-0.63</v>
      </c>
      <c r="G74" s="28" t="n">
        <v>1382</v>
      </c>
      <c r="H74" s="28" t="n">
        <v>8.89</v>
      </c>
      <c r="I74" s="20" t="n">
        <v>1.66117</v>
      </c>
    </row>
    <row r="75" customFormat="false" ht="15" hidden="false" customHeight="false" outlineLevel="0" collapsed="false">
      <c r="A75" s="18" t="n">
        <v>1</v>
      </c>
      <c r="B75" s="18" t="n">
        <v>0</v>
      </c>
      <c r="C75" s="18" t="s">
        <v>494</v>
      </c>
      <c r="D75" s="29" t="n">
        <v>-0.25</v>
      </c>
      <c r="E75" s="29" t="n">
        <v>-1.18</v>
      </c>
      <c r="F75" s="29" t="n">
        <v>-0.68</v>
      </c>
      <c r="G75" s="28" t="n">
        <v>1369.67</v>
      </c>
      <c r="H75" s="28" t="n">
        <v>20.74</v>
      </c>
      <c r="I75" s="20" t="n">
        <v>1.64611</v>
      </c>
    </row>
    <row r="76" customFormat="false" ht="15" hidden="false" customHeight="false" outlineLevel="0" collapsed="false">
      <c r="A76" s="18" t="n">
        <v>1</v>
      </c>
      <c r="B76" s="18" t="n">
        <v>0</v>
      </c>
      <c r="C76" s="18" t="s">
        <v>494</v>
      </c>
      <c r="D76" s="29" t="n">
        <v>-0.2</v>
      </c>
      <c r="E76" s="29" t="n">
        <v>-1.13</v>
      </c>
      <c r="F76" s="29" t="n">
        <v>-0.73</v>
      </c>
      <c r="G76" s="28" t="n">
        <v>1359.33</v>
      </c>
      <c r="H76" s="28" t="n">
        <v>10.97</v>
      </c>
      <c r="I76" s="20" t="n">
        <v>1.6335</v>
      </c>
    </row>
    <row r="77" customFormat="false" ht="15" hidden="false" customHeight="false" outlineLevel="0" collapsed="false">
      <c r="A77" s="18" t="n">
        <v>1</v>
      </c>
      <c r="B77" s="18" t="n">
        <v>0</v>
      </c>
      <c r="C77" s="18" t="s">
        <v>494</v>
      </c>
      <c r="D77" s="29" t="n">
        <v>-0.15</v>
      </c>
      <c r="E77" s="29" t="n">
        <v>-1.08</v>
      </c>
      <c r="F77" s="29" t="n">
        <v>-0.78</v>
      </c>
      <c r="G77" s="28" t="n">
        <v>1356.33</v>
      </c>
      <c r="H77" s="28" t="n">
        <v>13.65</v>
      </c>
      <c r="I77" s="20" t="n">
        <v>1.62983</v>
      </c>
    </row>
    <row r="78" customFormat="false" ht="15" hidden="false" customHeight="false" outlineLevel="0" collapsed="false">
      <c r="A78" s="18" t="n">
        <v>1</v>
      </c>
      <c r="B78" s="18" t="n">
        <v>0</v>
      </c>
      <c r="C78" s="18" t="s">
        <v>494</v>
      </c>
      <c r="D78" s="29" t="n">
        <v>-0.1</v>
      </c>
      <c r="E78" s="29" t="n">
        <v>-1.03</v>
      </c>
      <c r="F78" s="29" t="n">
        <v>-0.83</v>
      </c>
      <c r="G78" s="28" t="n">
        <v>1344.67</v>
      </c>
      <c r="H78" s="28" t="n">
        <v>7.77</v>
      </c>
      <c r="I78" s="20" t="n">
        <v>1.61559</v>
      </c>
    </row>
    <row r="79" customFormat="false" ht="15" hidden="false" customHeight="false" outlineLevel="0" collapsed="false">
      <c r="A79" s="18" t="n">
        <v>1</v>
      </c>
      <c r="B79" s="18" t="n">
        <v>0</v>
      </c>
      <c r="C79" s="18" t="s">
        <v>494</v>
      </c>
      <c r="D79" s="29" t="n">
        <v>-0.05</v>
      </c>
      <c r="E79" s="29" t="n">
        <v>-0.98</v>
      </c>
      <c r="F79" s="29" t="n">
        <v>-0.88</v>
      </c>
      <c r="G79" s="28" t="n">
        <v>1348.33</v>
      </c>
      <c r="H79" s="28" t="n">
        <v>4.62</v>
      </c>
      <c r="I79" s="20" t="n">
        <v>1.62007</v>
      </c>
    </row>
    <row r="80" customFormat="false" ht="15" hidden="false" customHeight="false" outlineLevel="0" collapsed="false">
      <c r="A80" s="18" t="n">
        <v>1</v>
      </c>
      <c r="B80" s="18" t="n">
        <v>0</v>
      </c>
      <c r="C80" s="18" t="s">
        <v>494</v>
      </c>
      <c r="D80" s="29" t="n">
        <v>0</v>
      </c>
      <c r="E80" s="29" t="n">
        <v>-0.93</v>
      </c>
      <c r="F80" s="29" t="n">
        <v>-0.93</v>
      </c>
      <c r="G80" s="28" t="n">
        <v>1348</v>
      </c>
      <c r="H80" s="28" t="n">
        <v>9.85</v>
      </c>
      <c r="I80" s="20" t="n">
        <v>1.61966</v>
      </c>
    </row>
    <row r="81" customFormat="false" ht="15" hidden="false" customHeight="false" outlineLevel="0" collapsed="false">
      <c r="A81" s="18" t="n">
        <v>1</v>
      </c>
      <c r="B81" s="18" t="n">
        <v>0</v>
      </c>
      <c r="C81" s="18" t="s">
        <v>494</v>
      </c>
      <c r="D81" s="29" t="n">
        <v>0.05</v>
      </c>
      <c r="E81" s="29" t="n">
        <v>-0.88</v>
      </c>
      <c r="F81" s="29" t="n">
        <v>-0.98</v>
      </c>
      <c r="G81" s="28" t="n">
        <v>1339.67</v>
      </c>
      <c r="H81" s="28" t="n">
        <v>5.51</v>
      </c>
      <c r="I81" s="20" t="n">
        <v>1.60948</v>
      </c>
    </row>
    <row r="82" customFormat="false" ht="15" hidden="false" customHeight="false" outlineLevel="0" collapsed="false">
      <c r="A82" s="18" t="n">
        <v>1</v>
      </c>
      <c r="B82" s="18" t="n">
        <v>0</v>
      </c>
      <c r="C82" s="18" t="s">
        <v>494</v>
      </c>
      <c r="D82" s="29" t="n">
        <v>0.1</v>
      </c>
      <c r="E82" s="29" t="n">
        <v>-0.83</v>
      </c>
      <c r="F82" s="29" t="n">
        <v>-1.03</v>
      </c>
      <c r="G82" s="28" t="n">
        <v>1344.67</v>
      </c>
      <c r="H82" s="28" t="n">
        <v>9.61</v>
      </c>
      <c r="I82" s="20" t="n">
        <v>1.61559</v>
      </c>
    </row>
    <row r="83" customFormat="false" ht="15" hidden="false" customHeight="false" outlineLevel="0" collapsed="false">
      <c r="A83" s="18" t="n">
        <v>1</v>
      </c>
      <c r="B83" s="18" t="n">
        <v>0</v>
      </c>
      <c r="C83" s="18" t="s">
        <v>494</v>
      </c>
      <c r="D83" s="29" t="n">
        <v>0.15</v>
      </c>
      <c r="E83" s="29" t="n">
        <v>-0.78</v>
      </c>
      <c r="F83" s="29" t="n">
        <v>-1.08</v>
      </c>
      <c r="G83" s="28" t="n">
        <v>1338</v>
      </c>
      <c r="H83" s="28" t="n">
        <v>8.66</v>
      </c>
      <c r="I83" s="20" t="n">
        <v>1.60745</v>
      </c>
    </row>
    <row r="84" customFormat="false" ht="15" hidden="false" customHeight="false" outlineLevel="0" collapsed="false">
      <c r="A84" s="18" t="n">
        <v>1</v>
      </c>
      <c r="B84" s="18" t="n">
        <v>0</v>
      </c>
      <c r="C84" s="18" t="s">
        <v>494</v>
      </c>
      <c r="D84" s="29" t="n">
        <v>0.2</v>
      </c>
      <c r="E84" s="29" t="n">
        <v>-0.73</v>
      </c>
      <c r="F84" s="29" t="n">
        <v>-1.13</v>
      </c>
      <c r="G84" s="28" t="n">
        <v>1338</v>
      </c>
      <c r="H84" s="28" t="n">
        <v>5.2</v>
      </c>
      <c r="I84" s="20" t="n">
        <v>1.60745</v>
      </c>
    </row>
    <row r="85" customFormat="false" ht="15" hidden="false" customHeight="false" outlineLevel="0" collapsed="false">
      <c r="A85" s="18" t="n">
        <v>1</v>
      </c>
      <c r="B85" s="18" t="n">
        <v>0</v>
      </c>
      <c r="C85" s="18" t="s">
        <v>494</v>
      </c>
      <c r="D85" s="29" t="n">
        <v>0.25</v>
      </c>
      <c r="E85" s="29" t="n">
        <v>-0.68</v>
      </c>
      <c r="F85" s="29" t="n">
        <v>-1.18</v>
      </c>
      <c r="G85" s="28" t="n">
        <v>1349.67</v>
      </c>
      <c r="H85" s="28" t="n">
        <v>11.06</v>
      </c>
      <c r="I85" s="20" t="n">
        <v>1.62169</v>
      </c>
    </row>
    <row r="86" customFormat="false" ht="15" hidden="false" customHeight="false" outlineLevel="0" collapsed="false">
      <c r="A86" s="18" t="n">
        <v>1</v>
      </c>
      <c r="B86" s="18" t="n">
        <v>0</v>
      </c>
      <c r="C86" s="18" t="s">
        <v>494</v>
      </c>
      <c r="D86" s="29" t="n">
        <v>0.3</v>
      </c>
      <c r="E86" s="29" t="n">
        <v>-0.63</v>
      </c>
      <c r="F86" s="29" t="n">
        <v>-1.23</v>
      </c>
      <c r="G86" s="28" t="n">
        <v>1341.67</v>
      </c>
      <c r="H86" s="28" t="n">
        <v>10.07</v>
      </c>
      <c r="I86" s="20" t="n">
        <v>1.61193</v>
      </c>
    </row>
    <row r="87" customFormat="false" ht="15" hidden="false" customHeight="false" outlineLevel="0" collapsed="false">
      <c r="A87" s="18" t="n">
        <v>1</v>
      </c>
      <c r="B87" s="18" t="n">
        <v>0</v>
      </c>
      <c r="C87" s="18" t="s">
        <v>494</v>
      </c>
      <c r="D87" s="29" t="n">
        <v>0.35</v>
      </c>
      <c r="E87" s="29" t="n">
        <v>-0.58</v>
      </c>
      <c r="F87" s="29" t="n">
        <v>-1.28</v>
      </c>
      <c r="G87" s="28" t="n">
        <v>1352.67</v>
      </c>
      <c r="H87" s="28" t="n">
        <v>5.51</v>
      </c>
      <c r="I87" s="20" t="n">
        <v>1.62536</v>
      </c>
    </row>
    <row r="88" customFormat="false" ht="15" hidden="false" customHeight="false" outlineLevel="0" collapsed="false">
      <c r="A88" s="18" t="n">
        <v>1</v>
      </c>
      <c r="B88" s="18" t="n">
        <v>0</v>
      </c>
      <c r="C88" s="18" t="s">
        <v>494</v>
      </c>
      <c r="D88" s="29" t="n">
        <v>0.4</v>
      </c>
      <c r="E88" s="29" t="n">
        <v>-0.53</v>
      </c>
      <c r="F88" s="29" t="n">
        <v>-1.33</v>
      </c>
      <c r="G88" s="28" t="n">
        <v>1362.67</v>
      </c>
      <c r="H88" s="28" t="n">
        <v>4.73</v>
      </c>
      <c r="I88" s="20" t="n">
        <v>1.63757</v>
      </c>
    </row>
    <row r="89" customFormat="false" ht="15" hidden="false" customHeight="false" outlineLevel="0" collapsed="false">
      <c r="A89" s="18" t="n">
        <v>1</v>
      </c>
      <c r="B89" s="18" t="n">
        <v>0</v>
      </c>
      <c r="C89" s="18" t="s">
        <v>494</v>
      </c>
      <c r="D89" s="29" t="n">
        <v>0.45</v>
      </c>
      <c r="E89" s="29" t="n">
        <v>-0.48</v>
      </c>
      <c r="F89" s="29" t="n">
        <v>-1.38</v>
      </c>
      <c r="G89" s="28" t="n">
        <v>1360.67</v>
      </c>
      <c r="H89" s="28" t="n">
        <v>2.08</v>
      </c>
      <c r="I89" s="20" t="n">
        <v>1.63512</v>
      </c>
    </row>
    <row r="90" customFormat="false" ht="15" hidden="false" customHeight="false" outlineLevel="0" collapsed="false">
      <c r="A90" s="18" t="n">
        <v>1</v>
      </c>
      <c r="B90" s="18" t="n">
        <v>0</v>
      </c>
      <c r="C90" s="18" t="s">
        <v>494</v>
      </c>
      <c r="D90" s="29" t="n">
        <v>0.5</v>
      </c>
      <c r="E90" s="29" t="n">
        <v>-0.43</v>
      </c>
      <c r="F90" s="29" t="n">
        <v>-1.43</v>
      </c>
      <c r="G90" s="28" t="n">
        <v>1368</v>
      </c>
      <c r="H90" s="28" t="n">
        <v>6.93</v>
      </c>
      <c r="I90" s="20" t="n">
        <v>1.64408</v>
      </c>
    </row>
    <row r="91" customFormat="false" ht="15" hidden="false" customHeight="false" outlineLevel="0" collapsed="false">
      <c r="A91" s="18" t="n">
        <v>1</v>
      </c>
      <c r="B91" s="18" t="n">
        <v>0</v>
      </c>
      <c r="C91" s="18" t="s">
        <v>494</v>
      </c>
      <c r="D91" s="29" t="n">
        <v>0.55</v>
      </c>
      <c r="E91" s="29" t="n">
        <v>-0.38</v>
      </c>
      <c r="F91" s="29" t="n">
        <v>-1.48</v>
      </c>
      <c r="G91" s="28" t="n">
        <v>1387.33</v>
      </c>
      <c r="H91" s="28" t="n">
        <v>7.23</v>
      </c>
      <c r="I91" s="20" t="n">
        <v>1.66768</v>
      </c>
    </row>
    <row r="92" customFormat="false" ht="15" hidden="false" customHeight="false" outlineLevel="0" collapsed="false">
      <c r="A92" s="18" t="n">
        <v>1</v>
      </c>
      <c r="B92" s="18" t="n">
        <v>0</v>
      </c>
      <c r="C92" s="18" t="s">
        <v>494</v>
      </c>
      <c r="D92" s="29" t="n">
        <v>0.6</v>
      </c>
      <c r="E92" s="29" t="n">
        <v>-0.33</v>
      </c>
      <c r="F92" s="29" t="n">
        <v>-1.53</v>
      </c>
      <c r="G92" s="28" t="n">
        <v>1382</v>
      </c>
      <c r="H92" s="28" t="n">
        <v>8.89</v>
      </c>
      <c r="I92" s="20" t="n">
        <v>1.66117</v>
      </c>
    </row>
    <row r="93" customFormat="false" ht="15" hidden="false" customHeight="false" outlineLevel="0" collapsed="false">
      <c r="A93" s="18" t="n">
        <v>1</v>
      </c>
      <c r="B93" s="18" t="n">
        <v>0</v>
      </c>
      <c r="C93" s="18" t="s">
        <v>494</v>
      </c>
      <c r="D93" s="29" t="n">
        <v>0.65</v>
      </c>
      <c r="E93" s="29" t="n">
        <v>-0.28</v>
      </c>
      <c r="F93" s="29" t="n">
        <v>-1.58</v>
      </c>
      <c r="G93" s="28" t="n">
        <v>1400</v>
      </c>
      <c r="H93" s="28" t="n">
        <v>7</v>
      </c>
      <c r="I93" s="20" t="n">
        <v>1.68315</v>
      </c>
    </row>
    <row r="94" customFormat="false" ht="15" hidden="false" customHeight="false" outlineLevel="0" collapsed="false">
      <c r="A94" s="18" t="n">
        <v>1</v>
      </c>
      <c r="B94" s="18" t="n">
        <v>0</v>
      </c>
      <c r="C94" s="18" t="s">
        <v>494</v>
      </c>
      <c r="D94" s="29" t="n">
        <v>0.7</v>
      </c>
      <c r="E94" s="29" t="n">
        <v>-0.23</v>
      </c>
      <c r="F94" s="29" t="n">
        <v>-1.63</v>
      </c>
      <c r="G94" s="28" t="n">
        <v>1428</v>
      </c>
      <c r="H94" s="28" t="n">
        <v>6.93</v>
      </c>
      <c r="I94" s="20" t="n">
        <v>1.71734</v>
      </c>
    </row>
    <row r="95" customFormat="false" ht="15" hidden="false" customHeight="false" outlineLevel="0" collapsed="false">
      <c r="A95" s="18" t="n">
        <v>1</v>
      </c>
      <c r="B95" s="18" t="n">
        <v>0</v>
      </c>
      <c r="C95" s="18" t="s">
        <v>494</v>
      </c>
      <c r="D95" s="29" t="n">
        <v>0.75</v>
      </c>
      <c r="E95" s="29" t="n">
        <v>-0.18</v>
      </c>
      <c r="F95" s="29" t="n">
        <v>-1.68</v>
      </c>
      <c r="G95" s="28" t="n">
        <v>1423.33</v>
      </c>
      <c r="H95" s="28" t="n">
        <v>12.5</v>
      </c>
      <c r="I95" s="20" t="n">
        <v>1.71164</v>
      </c>
    </row>
    <row r="96" customFormat="false" ht="15" hidden="false" customHeight="false" outlineLevel="0" collapsed="false">
      <c r="A96" s="18" t="n">
        <v>1</v>
      </c>
      <c r="B96" s="18" t="n">
        <v>0</v>
      </c>
      <c r="C96" s="18" t="s">
        <v>494</v>
      </c>
      <c r="D96" s="29" t="n">
        <v>0.8</v>
      </c>
      <c r="E96" s="29" t="n">
        <v>-0.13</v>
      </c>
      <c r="F96" s="29" t="n">
        <v>-1.73</v>
      </c>
      <c r="G96" s="28" t="n">
        <v>1444.33</v>
      </c>
      <c r="H96" s="28" t="n">
        <v>4.62</v>
      </c>
      <c r="I96" s="20" t="n">
        <v>1.73728</v>
      </c>
    </row>
    <row r="97" customFormat="false" ht="15" hidden="false" customHeight="false" outlineLevel="0" collapsed="false">
      <c r="A97" s="18" t="n">
        <v>1</v>
      </c>
      <c r="B97" s="18" t="n">
        <v>0</v>
      </c>
      <c r="C97" s="18" t="s">
        <v>494</v>
      </c>
      <c r="D97" s="29" t="n">
        <v>0.85</v>
      </c>
      <c r="E97" s="29" t="n">
        <v>-0.08</v>
      </c>
      <c r="F97" s="29" t="n">
        <v>-1.78</v>
      </c>
      <c r="G97" s="28" t="n">
        <v>1464</v>
      </c>
      <c r="H97" s="28" t="n">
        <v>8</v>
      </c>
      <c r="I97" s="20" t="n">
        <v>1.76129</v>
      </c>
    </row>
    <row r="98" customFormat="false" ht="15" hidden="false" customHeight="false" outlineLevel="0" collapsed="false">
      <c r="A98" s="18" t="n">
        <v>1</v>
      </c>
      <c r="B98" s="18" t="n">
        <v>0</v>
      </c>
      <c r="C98" s="18" t="s">
        <v>494</v>
      </c>
      <c r="D98" s="29" t="n">
        <v>0.9</v>
      </c>
      <c r="E98" s="29" t="n">
        <v>-0.03</v>
      </c>
      <c r="F98" s="29" t="n">
        <v>-1.83</v>
      </c>
      <c r="G98" s="28" t="n">
        <v>1470</v>
      </c>
      <c r="H98" s="28" t="n">
        <v>8.19</v>
      </c>
      <c r="I98" s="20" t="n">
        <v>1.76862</v>
      </c>
    </row>
    <row r="99" customFormat="false" ht="15" hidden="false" customHeight="false" outlineLevel="0" collapsed="false">
      <c r="A99" s="18" t="n">
        <v>1</v>
      </c>
      <c r="B99" s="18" t="n">
        <v>1</v>
      </c>
      <c r="C99" s="18" t="s">
        <v>495</v>
      </c>
      <c r="D99" s="29" t="n">
        <v>-0.7</v>
      </c>
      <c r="E99" s="29" t="n">
        <v>-1.63</v>
      </c>
      <c r="F99" s="29" t="n">
        <v>-0.23</v>
      </c>
      <c r="G99" s="28" t="n">
        <v>1607</v>
      </c>
      <c r="H99" s="28" t="n">
        <v>10.15</v>
      </c>
      <c r="I99" s="20" t="n">
        <v>1.82204</v>
      </c>
    </row>
    <row r="100" customFormat="false" ht="15" hidden="false" customHeight="false" outlineLevel="0" collapsed="false">
      <c r="A100" s="18" t="n">
        <v>1</v>
      </c>
      <c r="B100" s="18" t="n">
        <v>1</v>
      </c>
      <c r="C100" s="18" t="s">
        <v>495</v>
      </c>
      <c r="D100" s="29" t="n">
        <v>-0.65</v>
      </c>
      <c r="E100" s="29" t="n">
        <v>-1.58</v>
      </c>
      <c r="F100" s="29" t="n">
        <v>-0.28</v>
      </c>
      <c r="G100" s="28" t="n">
        <v>1585</v>
      </c>
      <c r="H100" s="28" t="n">
        <v>15.72</v>
      </c>
      <c r="I100" s="20" t="n">
        <v>1.79518</v>
      </c>
    </row>
    <row r="101" customFormat="false" ht="15" hidden="false" customHeight="false" outlineLevel="0" collapsed="false">
      <c r="A101" s="18" t="n">
        <v>1</v>
      </c>
      <c r="B101" s="18" t="n">
        <v>1</v>
      </c>
      <c r="C101" s="18" t="s">
        <v>495</v>
      </c>
      <c r="D101" s="29" t="n">
        <v>-0.6</v>
      </c>
      <c r="E101" s="29" t="n">
        <v>-1.53</v>
      </c>
      <c r="F101" s="29" t="n">
        <v>-0.33</v>
      </c>
      <c r="G101" s="28" t="n">
        <v>1567</v>
      </c>
      <c r="H101" s="28" t="n">
        <v>7</v>
      </c>
      <c r="I101" s="20" t="n">
        <v>1.7732</v>
      </c>
    </row>
    <row r="102" customFormat="false" ht="15" hidden="false" customHeight="false" outlineLevel="0" collapsed="false">
      <c r="A102" s="18" t="n">
        <v>1</v>
      </c>
      <c r="B102" s="18" t="n">
        <v>1</v>
      </c>
      <c r="C102" s="18" t="s">
        <v>495</v>
      </c>
      <c r="D102" s="29" t="n">
        <v>-0.55</v>
      </c>
      <c r="E102" s="29" t="n">
        <v>-1.48</v>
      </c>
      <c r="F102" s="29" t="n">
        <v>-0.38</v>
      </c>
      <c r="G102" s="28" t="n">
        <v>1545.67</v>
      </c>
      <c r="H102" s="28" t="n">
        <v>4.62</v>
      </c>
      <c r="I102" s="20" t="n">
        <v>1.74715</v>
      </c>
    </row>
    <row r="103" customFormat="false" ht="15" hidden="false" customHeight="false" outlineLevel="0" collapsed="false">
      <c r="A103" s="18" t="n">
        <v>1</v>
      </c>
      <c r="B103" s="18" t="n">
        <v>1</v>
      </c>
      <c r="C103" s="18" t="s">
        <v>495</v>
      </c>
      <c r="D103" s="29" t="n">
        <v>-0.5</v>
      </c>
      <c r="E103" s="29" t="n">
        <v>-1.43</v>
      </c>
      <c r="F103" s="29" t="n">
        <v>-0.43</v>
      </c>
      <c r="G103" s="28" t="n">
        <v>1538.33</v>
      </c>
      <c r="H103" s="28" t="n">
        <v>11.68</v>
      </c>
      <c r="I103" s="20" t="n">
        <v>1.7382</v>
      </c>
    </row>
    <row r="104" customFormat="false" ht="15" hidden="false" customHeight="false" outlineLevel="0" collapsed="false">
      <c r="A104" s="18" t="n">
        <v>1</v>
      </c>
      <c r="B104" s="18" t="n">
        <v>1</v>
      </c>
      <c r="C104" s="18" t="s">
        <v>495</v>
      </c>
      <c r="D104" s="29" t="n">
        <v>-0.45</v>
      </c>
      <c r="E104" s="29" t="n">
        <v>-1.38</v>
      </c>
      <c r="F104" s="29" t="n">
        <v>-0.48</v>
      </c>
      <c r="G104" s="28" t="n">
        <v>1521.33</v>
      </c>
      <c r="H104" s="28" t="n">
        <v>12.86</v>
      </c>
      <c r="I104" s="20" t="n">
        <v>1.71744</v>
      </c>
    </row>
    <row r="105" customFormat="false" ht="15" hidden="false" customHeight="false" outlineLevel="0" collapsed="false">
      <c r="A105" s="18" t="n">
        <v>1</v>
      </c>
      <c r="B105" s="18" t="n">
        <v>1</v>
      </c>
      <c r="C105" s="18" t="s">
        <v>495</v>
      </c>
      <c r="D105" s="29" t="n">
        <v>-0.4</v>
      </c>
      <c r="E105" s="29" t="n">
        <v>-1.33</v>
      </c>
      <c r="F105" s="29" t="n">
        <v>-0.53</v>
      </c>
      <c r="G105" s="28" t="n">
        <v>1508</v>
      </c>
      <c r="H105" s="28" t="n">
        <v>11.53</v>
      </c>
      <c r="I105" s="20" t="n">
        <v>1.70116</v>
      </c>
    </row>
    <row r="106" customFormat="false" ht="15" hidden="false" customHeight="false" outlineLevel="0" collapsed="false">
      <c r="A106" s="18" t="n">
        <v>1</v>
      </c>
      <c r="B106" s="18" t="n">
        <v>1</v>
      </c>
      <c r="C106" s="18" t="s">
        <v>495</v>
      </c>
      <c r="D106" s="29" t="n">
        <v>-0.35</v>
      </c>
      <c r="E106" s="29" t="n">
        <v>-1.28</v>
      </c>
      <c r="F106" s="29" t="n">
        <v>-0.58</v>
      </c>
      <c r="G106" s="28" t="n">
        <v>1507.33</v>
      </c>
      <c r="H106" s="28" t="n">
        <v>3.51</v>
      </c>
      <c r="I106" s="20" t="n">
        <v>1.70035</v>
      </c>
    </row>
    <row r="107" customFormat="false" ht="15" hidden="false" customHeight="false" outlineLevel="0" collapsed="false">
      <c r="A107" s="18" t="n">
        <v>1</v>
      </c>
      <c r="B107" s="18" t="n">
        <v>1</v>
      </c>
      <c r="C107" s="18" t="s">
        <v>495</v>
      </c>
      <c r="D107" s="29" t="n">
        <v>-0.3</v>
      </c>
      <c r="E107" s="29" t="n">
        <v>-1.23</v>
      </c>
      <c r="F107" s="29" t="n">
        <v>-0.63</v>
      </c>
      <c r="G107" s="28" t="n">
        <v>1487.33</v>
      </c>
      <c r="H107" s="28" t="n">
        <v>0.58</v>
      </c>
      <c r="I107" s="20" t="n">
        <v>1.67593</v>
      </c>
    </row>
    <row r="108" customFormat="false" ht="15" hidden="false" customHeight="false" outlineLevel="0" collapsed="false">
      <c r="A108" s="18" t="n">
        <v>1</v>
      </c>
      <c r="B108" s="18" t="n">
        <v>1</v>
      </c>
      <c r="C108" s="18" t="s">
        <v>495</v>
      </c>
      <c r="D108" s="29" t="n">
        <v>-0.25</v>
      </c>
      <c r="E108" s="29" t="n">
        <v>-1.18</v>
      </c>
      <c r="F108" s="29" t="n">
        <v>-0.68</v>
      </c>
      <c r="G108" s="28" t="n">
        <v>1483.33</v>
      </c>
      <c r="H108" s="28" t="n">
        <v>4.04</v>
      </c>
      <c r="I108" s="20" t="n">
        <v>1.67104</v>
      </c>
    </row>
    <row r="109" customFormat="false" ht="15" hidden="false" customHeight="false" outlineLevel="0" collapsed="false">
      <c r="A109" s="18" t="n">
        <v>1</v>
      </c>
      <c r="B109" s="18" t="n">
        <v>1</v>
      </c>
      <c r="C109" s="18" t="s">
        <v>495</v>
      </c>
      <c r="D109" s="29" t="n">
        <v>-0.2</v>
      </c>
      <c r="E109" s="29" t="n">
        <v>-1.13</v>
      </c>
      <c r="F109" s="29" t="n">
        <v>-0.73</v>
      </c>
      <c r="G109" s="28" t="n">
        <v>1474</v>
      </c>
      <c r="H109" s="28" t="n">
        <v>11.79</v>
      </c>
      <c r="I109" s="20" t="n">
        <v>1.65965</v>
      </c>
    </row>
    <row r="110" customFormat="false" ht="15" hidden="false" customHeight="false" outlineLevel="0" collapsed="false">
      <c r="A110" s="18" t="n">
        <v>1</v>
      </c>
      <c r="B110" s="18" t="n">
        <v>1</v>
      </c>
      <c r="C110" s="18" t="s">
        <v>495</v>
      </c>
      <c r="D110" s="29" t="n">
        <v>-0.15</v>
      </c>
      <c r="E110" s="29" t="n">
        <v>-1.08</v>
      </c>
      <c r="F110" s="29" t="n">
        <v>-0.78</v>
      </c>
      <c r="G110" s="28" t="n">
        <v>1476.33</v>
      </c>
      <c r="H110" s="28" t="n">
        <v>18.01</v>
      </c>
      <c r="I110" s="20" t="n">
        <v>1.66249</v>
      </c>
    </row>
    <row r="111" customFormat="false" ht="15" hidden="false" customHeight="false" outlineLevel="0" collapsed="false">
      <c r="A111" s="18" t="n">
        <v>1</v>
      </c>
      <c r="B111" s="18" t="n">
        <v>1</v>
      </c>
      <c r="C111" s="18" t="s">
        <v>495</v>
      </c>
      <c r="D111" s="29" t="n">
        <v>-0.1</v>
      </c>
      <c r="E111" s="29" t="n">
        <v>-1.03</v>
      </c>
      <c r="F111" s="29" t="n">
        <v>-0.83</v>
      </c>
      <c r="G111" s="28" t="n">
        <v>1465.33</v>
      </c>
      <c r="H111" s="28" t="n">
        <v>8.33</v>
      </c>
      <c r="I111" s="20" t="n">
        <v>1.64906</v>
      </c>
    </row>
    <row r="112" customFormat="false" ht="15" hidden="false" customHeight="false" outlineLevel="0" collapsed="false">
      <c r="A112" s="18" t="n">
        <v>1</v>
      </c>
      <c r="B112" s="18" t="n">
        <v>1</v>
      </c>
      <c r="C112" s="18" t="s">
        <v>495</v>
      </c>
      <c r="D112" s="29" t="n">
        <v>-0.05</v>
      </c>
      <c r="E112" s="29" t="n">
        <v>-0.98</v>
      </c>
      <c r="F112" s="29" t="n">
        <v>-0.88</v>
      </c>
      <c r="G112" s="28" t="n">
        <v>1459</v>
      </c>
      <c r="H112" s="28" t="n">
        <v>17.69</v>
      </c>
      <c r="I112" s="20" t="n">
        <v>1.64133</v>
      </c>
    </row>
    <row r="113" customFormat="false" ht="15" hidden="false" customHeight="false" outlineLevel="0" collapsed="false">
      <c r="A113" s="18" t="n">
        <v>1</v>
      </c>
      <c r="B113" s="18" t="n">
        <v>1</v>
      </c>
      <c r="C113" s="18" t="s">
        <v>495</v>
      </c>
      <c r="D113" s="29" t="n">
        <v>0</v>
      </c>
      <c r="E113" s="29" t="n">
        <v>-0.93</v>
      </c>
      <c r="F113" s="29" t="n">
        <v>-0.93</v>
      </c>
      <c r="G113" s="28" t="n">
        <v>1461</v>
      </c>
      <c r="H113" s="28" t="n">
        <v>12.12</v>
      </c>
      <c r="I113" s="20" t="n">
        <v>1.64377</v>
      </c>
    </row>
    <row r="114" customFormat="false" ht="15" hidden="false" customHeight="false" outlineLevel="0" collapsed="false">
      <c r="A114" s="18" t="n">
        <v>1</v>
      </c>
      <c r="B114" s="18" t="n">
        <v>1</v>
      </c>
      <c r="C114" s="18" t="s">
        <v>495</v>
      </c>
      <c r="D114" s="29" t="n">
        <v>0.05</v>
      </c>
      <c r="E114" s="29" t="n">
        <v>-0.88</v>
      </c>
      <c r="F114" s="29" t="n">
        <v>-0.98</v>
      </c>
      <c r="G114" s="28" t="n">
        <v>1454.67</v>
      </c>
      <c r="H114" s="28" t="n">
        <v>8.02</v>
      </c>
      <c r="I114" s="20" t="n">
        <v>1.63604</v>
      </c>
    </row>
    <row r="115" customFormat="false" ht="15" hidden="false" customHeight="false" outlineLevel="0" collapsed="false">
      <c r="A115" s="18" t="n">
        <v>1</v>
      </c>
      <c r="B115" s="18" t="n">
        <v>1</v>
      </c>
      <c r="C115" s="18" t="s">
        <v>495</v>
      </c>
      <c r="D115" s="29" t="n">
        <v>0.1</v>
      </c>
      <c r="E115" s="29" t="n">
        <v>-0.83</v>
      </c>
      <c r="F115" s="29" t="n">
        <v>-1.03</v>
      </c>
      <c r="G115" s="28" t="n">
        <v>1456</v>
      </c>
      <c r="H115" s="28" t="n">
        <v>7</v>
      </c>
      <c r="I115" s="20" t="n">
        <v>1.63767</v>
      </c>
    </row>
    <row r="116" customFormat="false" ht="15" hidden="false" customHeight="false" outlineLevel="0" collapsed="false">
      <c r="A116" s="18" t="n">
        <v>1</v>
      </c>
      <c r="B116" s="18" t="n">
        <v>1</v>
      </c>
      <c r="C116" s="18" t="s">
        <v>495</v>
      </c>
      <c r="D116" s="29" t="n">
        <v>0.15</v>
      </c>
      <c r="E116" s="29" t="n">
        <v>-0.78</v>
      </c>
      <c r="F116" s="29" t="n">
        <v>-1.08</v>
      </c>
      <c r="G116" s="28" t="n">
        <v>1461</v>
      </c>
      <c r="H116" s="28" t="n">
        <v>4.36</v>
      </c>
      <c r="I116" s="20" t="n">
        <v>1.64377</v>
      </c>
    </row>
    <row r="117" customFormat="false" ht="15" hidden="false" customHeight="false" outlineLevel="0" collapsed="false">
      <c r="A117" s="18" t="n">
        <v>1</v>
      </c>
      <c r="B117" s="18" t="n">
        <v>1</v>
      </c>
      <c r="C117" s="18" t="s">
        <v>495</v>
      </c>
      <c r="D117" s="29" t="n">
        <v>0.2</v>
      </c>
      <c r="E117" s="29" t="n">
        <v>-0.73</v>
      </c>
      <c r="F117" s="29" t="n">
        <v>-1.13</v>
      </c>
      <c r="G117" s="28" t="n">
        <v>1466</v>
      </c>
      <c r="H117" s="28" t="n">
        <v>8.72</v>
      </c>
      <c r="I117" s="20" t="n">
        <v>1.64988</v>
      </c>
    </row>
    <row r="118" customFormat="false" ht="15" hidden="false" customHeight="false" outlineLevel="0" collapsed="false">
      <c r="A118" s="18" t="n">
        <v>1</v>
      </c>
      <c r="B118" s="18" t="n">
        <v>1</v>
      </c>
      <c r="C118" s="18" t="s">
        <v>495</v>
      </c>
      <c r="D118" s="29" t="n">
        <v>0.25</v>
      </c>
      <c r="E118" s="29" t="n">
        <v>-0.68</v>
      </c>
      <c r="F118" s="29" t="n">
        <v>-1.18</v>
      </c>
      <c r="G118" s="28" t="n">
        <v>1454.67</v>
      </c>
      <c r="H118" s="28" t="n">
        <v>2.31</v>
      </c>
      <c r="I118" s="20" t="n">
        <v>1.63604</v>
      </c>
    </row>
    <row r="119" customFormat="false" ht="15" hidden="false" customHeight="false" outlineLevel="0" collapsed="false">
      <c r="A119" s="18" t="n">
        <v>1</v>
      </c>
      <c r="B119" s="18" t="n">
        <v>1</v>
      </c>
      <c r="C119" s="18" t="s">
        <v>495</v>
      </c>
      <c r="D119" s="29" t="n">
        <v>0.3</v>
      </c>
      <c r="E119" s="29" t="n">
        <v>-0.63</v>
      </c>
      <c r="F119" s="29" t="n">
        <v>-1.23</v>
      </c>
      <c r="G119" s="28" t="n">
        <v>1462.33</v>
      </c>
      <c r="H119" s="28" t="n">
        <v>12.34</v>
      </c>
      <c r="I119" s="20" t="n">
        <v>1.6454</v>
      </c>
    </row>
    <row r="120" customFormat="false" ht="15" hidden="false" customHeight="false" outlineLevel="0" collapsed="false">
      <c r="A120" s="18" t="n">
        <v>1</v>
      </c>
      <c r="B120" s="18" t="n">
        <v>1</v>
      </c>
      <c r="C120" s="18" t="s">
        <v>495</v>
      </c>
      <c r="D120" s="29" t="n">
        <v>0.35</v>
      </c>
      <c r="E120" s="29" t="n">
        <v>-0.58</v>
      </c>
      <c r="F120" s="29" t="n">
        <v>-1.28</v>
      </c>
      <c r="G120" s="28" t="n">
        <v>1474.33</v>
      </c>
      <c r="H120" s="28" t="n">
        <v>13.65</v>
      </c>
      <c r="I120" s="20" t="n">
        <v>1.66005</v>
      </c>
    </row>
    <row r="121" customFormat="false" ht="15" hidden="false" customHeight="false" outlineLevel="0" collapsed="false">
      <c r="A121" s="18" t="n">
        <v>1</v>
      </c>
      <c r="B121" s="18" t="n">
        <v>1</v>
      </c>
      <c r="C121" s="18" t="s">
        <v>495</v>
      </c>
      <c r="D121" s="29" t="n">
        <v>0.4</v>
      </c>
      <c r="E121" s="29" t="n">
        <v>-0.53</v>
      </c>
      <c r="F121" s="29" t="n">
        <v>-1.33</v>
      </c>
      <c r="G121" s="28" t="n">
        <v>1478</v>
      </c>
      <c r="H121" s="28" t="n">
        <v>12.29</v>
      </c>
      <c r="I121" s="20" t="n">
        <v>1.66453</v>
      </c>
    </row>
    <row r="122" customFormat="false" ht="15" hidden="false" customHeight="false" outlineLevel="0" collapsed="false">
      <c r="A122" s="18" t="n">
        <v>1</v>
      </c>
      <c r="B122" s="18" t="n">
        <v>1</v>
      </c>
      <c r="C122" s="18" t="s">
        <v>495</v>
      </c>
      <c r="D122" s="29" t="n">
        <v>0.45</v>
      </c>
      <c r="E122" s="29" t="n">
        <v>-0.48</v>
      </c>
      <c r="F122" s="29" t="n">
        <v>-1.38</v>
      </c>
      <c r="G122" s="28" t="n">
        <v>1491</v>
      </c>
      <c r="H122" s="28" t="n">
        <v>7.81</v>
      </c>
      <c r="I122" s="20" t="n">
        <v>1.6804</v>
      </c>
    </row>
    <row r="123" customFormat="false" ht="15" hidden="false" customHeight="false" outlineLevel="0" collapsed="false">
      <c r="A123" s="18" t="n">
        <v>1</v>
      </c>
      <c r="B123" s="18" t="n">
        <v>1</v>
      </c>
      <c r="C123" s="18" t="s">
        <v>495</v>
      </c>
      <c r="D123" s="29" t="n">
        <v>0.5</v>
      </c>
      <c r="E123" s="29" t="n">
        <v>-0.43</v>
      </c>
      <c r="F123" s="29" t="n">
        <v>-1.43</v>
      </c>
      <c r="G123" s="28" t="n">
        <v>1499</v>
      </c>
      <c r="H123" s="28" t="n">
        <v>11.14</v>
      </c>
      <c r="I123" s="20" t="n">
        <v>1.69017</v>
      </c>
    </row>
    <row r="124" customFormat="false" ht="15" hidden="false" customHeight="false" outlineLevel="0" collapsed="false">
      <c r="A124" s="18" t="n">
        <v>1</v>
      </c>
      <c r="B124" s="18" t="n">
        <v>1</v>
      </c>
      <c r="C124" s="18" t="s">
        <v>495</v>
      </c>
      <c r="D124" s="29" t="n">
        <v>0.55</v>
      </c>
      <c r="E124" s="29" t="n">
        <v>-0.38</v>
      </c>
      <c r="F124" s="29" t="n">
        <v>-1.48</v>
      </c>
      <c r="G124" s="28" t="n">
        <v>1514</v>
      </c>
      <c r="H124" s="28" t="n">
        <v>4.36</v>
      </c>
      <c r="I124" s="20" t="n">
        <v>1.70849</v>
      </c>
    </row>
    <row r="125" customFormat="false" ht="15" hidden="false" customHeight="false" outlineLevel="0" collapsed="false">
      <c r="A125" s="18" t="n">
        <v>1</v>
      </c>
      <c r="B125" s="18" t="n">
        <v>1</v>
      </c>
      <c r="C125" s="18" t="s">
        <v>495</v>
      </c>
      <c r="D125" s="29" t="n">
        <v>0.6</v>
      </c>
      <c r="E125" s="29" t="n">
        <v>-0.33</v>
      </c>
      <c r="F125" s="29" t="n">
        <v>-1.53</v>
      </c>
      <c r="G125" s="28" t="n">
        <v>1506.33</v>
      </c>
      <c r="H125" s="28" t="n">
        <v>4.04</v>
      </c>
      <c r="I125" s="20" t="n">
        <v>1.69912</v>
      </c>
    </row>
    <row r="126" customFormat="false" ht="15" hidden="false" customHeight="false" outlineLevel="0" collapsed="false">
      <c r="A126" s="18" t="n">
        <v>1</v>
      </c>
      <c r="B126" s="18" t="n">
        <v>1</v>
      </c>
      <c r="C126" s="18" t="s">
        <v>495</v>
      </c>
      <c r="D126" s="29" t="n">
        <v>0.65</v>
      </c>
      <c r="E126" s="29" t="n">
        <v>-0.28</v>
      </c>
      <c r="F126" s="29" t="n">
        <v>-1.58</v>
      </c>
      <c r="G126" s="28" t="n">
        <v>1525</v>
      </c>
      <c r="H126" s="28" t="n">
        <v>5.2</v>
      </c>
      <c r="I126" s="20" t="n">
        <v>1.72192</v>
      </c>
    </row>
    <row r="127" customFormat="false" ht="15" hidden="false" customHeight="false" outlineLevel="0" collapsed="false">
      <c r="A127" s="18" t="n">
        <v>1</v>
      </c>
      <c r="B127" s="18" t="n">
        <v>1</v>
      </c>
      <c r="C127" s="18" t="s">
        <v>495</v>
      </c>
      <c r="D127" s="29" t="n">
        <v>0.7</v>
      </c>
      <c r="E127" s="29" t="n">
        <v>-0.23</v>
      </c>
      <c r="F127" s="29" t="n">
        <v>-1.63</v>
      </c>
      <c r="G127" s="28" t="n">
        <v>1535.33</v>
      </c>
      <c r="H127" s="28" t="n">
        <v>0.58</v>
      </c>
      <c r="I127" s="20" t="n">
        <v>1.73453</v>
      </c>
    </row>
    <row r="128" customFormat="false" ht="15" hidden="false" customHeight="false" outlineLevel="0" collapsed="false">
      <c r="A128" s="18" t="n">
        <v>1</v>
      </c>
      <c r="B128" s="18" t="n">
        <v>1</v>
      </c>
      <c r="C128" s="18" t="s">
        <v>495</v>
      </c>
      <c r="D128" s="29" t="n">
        <v>0.75</v>
      </c>
      <c r="E128" s="29" t="n">
        <v>-0.18</v>
      </c>
      <c r="F128" s="29" t="n">
        <v>-1.68</v>
      </c>
      <c r="G128" s="28" t="n">
        <v>1549.33</v>
      </c>
      <c r="H128" s="28" t="n">
        <v>12.01</v>
      </c>
      <c r="I128" s="20" t="n">
        <v>1.75163</v>
      </c>
    </row>
    <row r="129" customFormat="false" ht="15" hidden="false" customHeight="false" outlineLevel="0" collapsed="false">
      <c r="A129" s="18" t="n">
        <v>1</v>
      </c>
      <c r="B129" s="18" t="n">
        <v>1</v>
      </c>
      <c r="C129" s="18" t="s">
        <v>495</v>
      </c>
      <c r="D129" s="29" t="n">
        <v>0.8</v>
      </c>
      <c r="E129" s="29" t="n">
        <v>-0.13</v>
      </c>
      <c r="F129" s="29" t="n">
        <v>-1.73</v>
      </c>
      <c r="G129" s="28" t="n">
        <v>1572.33</v>
      </c>
      <c r="H129" s="28" t="n">
        <v>13.2</v>
      </c>
      <c r="I129" s="20" t="n">
        <v>1.77971</v>
      </c>
    </row>
    <row r="130" customFormat="false" ht="15" hidden="false" customHeight="false" outlineLevel="0" collapsed="false">
      <c r="A130" s="18" t="n">
        <v>1</v>
      </c>
      <c r="B130" s="18" t="n">
        <v>1</v>
      </c>
      <c r="C130" s="18" t="s">
        <v>495</v>
      </c>
      <c r="D130" s="29" t="n">
        <v>0.85</v>
      </c>
      <c r="E130" s="29" t="n">
        <v>-0.08</v>
      </c>
      <c r="F130" s="29" t="n">
        <v>-1.78</v>
      </c>
      <c r="G130" s="28" t="n">
        <v>1588.67</v>
      </c>
      <c r="H130" s="28" t="n">
        <v>9.61</v>
      </c>
      <c r="I130" s="20" t="n">
        <v>1.79965</v>
      </c>
    </row>
    <row r="131" customFormat="false" ht="15" hidden="false" customHeight="false" outlineLevel="0" collapsed="false">
      <c r="A131" s="18" t="n">
        <v>1</v>
      </c>
      <c r="B131" s="18" t="n">
        <v>1</v>
      </c>
      <c r="C131" s="18" t="s">
        <v>495</v>
      </c>
      <c r="D131" s="29" t="n">
        <v>0.9</v>
      </c>
      <c r="E131" s="29" t="n">
        <v>-0.03</v>
      </c>
      <c r="F131" s="29" t="n">
        <v>-1.83</v>
      </c>
      <c r="G131" s="28" t="n">
        <v>1593</v>
      </c>
      <c r="H131" s="28" t="n">
        <v>9.17</v>
      </c>
      <c r="I131" s="20" t="n">
        <v>1.80495</v>
      </c>
    </row>
  </sheetData>
  <autoFilter ref="A3:I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13" min="5" style="0" width="8"/>
    <col collapsed="false" customWidth="true" hidden="false" outlineLevel="0" max="15" min="14" style="0" width="9"/>
    <col collapsed="false" customWidth="true" hidden="false" outlineLevel="0" max="16" min="16" style="0" width="8"/>
    <col collapsed="false" customWidth="true" hidden="false" outlineLevel="0" max="17" min="17" style="0" width="9"/>
  </cols>
  <sheetData>
    <row r="1" customFormat="false" ht="20.1" hidden="false" customHeight="false" outlineLevel="0" collapsed="false">
      <c r="A1" s="1" t="s">
        <v>822</v>
      </c>
    </row>
    <row r="3" customFormat="false" ht="15" hidden="false" customHeight="false" outlineLevel="0" collapsed="false">
      <c r="A3" s="10" t="s">
        <v>823</v>
      </c>
    </row>
    <row r="4" customFormat="false" ht="26.85" hidden="false" customHeight="false" outlineLevel="0" collapsed="false">
      <c r="A4" s="6" t="s">
        <v>824</v>
      </c>
      <c r="B4" s="6" t="s">
        <v>29</v>
      </c>
      <c r="C4" s="6" t="s">
        <v>825</v>
      </c>
      <c r="D4" s="17" t="s">
        <v>826</v>
      </c>
      <c r="E4" s="17" t="s">
        <v>827</v>
      </c>
      <c r="F4" s="6" t="s">
        <v>828</v>
      </c>
      <c r="G4" s="17" t="s">
        <v>829</v>
      </c>
      <c r="H4" s="17" t="s">
        <v>830</v>
      </c>
      <c r="I4" s="6" t="s">
        <v>831</v>
      </c>
      <c r="J4" s="17" t="s">
        <v>832</v>
      </c>
      <c r="K4" s="6" t="s">
        <v>833</v>
      </c>
      <c r="L4" s="17" t="s">
        <v>92</v>
      </c>
      <c r="M4" s="17" t="s">
        <v>834</v>
      </c>
      <c r="N4" s="17" t="s">
        <v>96</v>
      </c>
      <c r="O4" s="17" t="s">
        <v>835</v>
      </c>
      <c r="P4" s="17" t="s">
        <v>815</v>
      </c>
      <c r="Q4" s="17" t="s">
        <v>63</v>
      </c>
    </row>
    <row r="5" customFormat="false" ht="15" hidden="false" customHeight="false" outlineLevel="0" collapsed="false">
      <c r="A5" s="12" t="s">
        <v>67</v>
      </c>
      <c r="B5" s="12" t="n">
        <v>-1.25</v>
      </c>
      <c r="C5" s="12" t="n">
        <v>0</v>
      </c>
      <c r="D5" s="12" t="n">
        <v>16</v>
      </c>
      <c r="E5" s="14" t="n">
        <v>0.61</v>
      </c>
      <c r="F5" s="14" t="n">
        <v>6</v>
      </c>
      <c r="G5" s="13" t="n">
        <v>-0.08</v>
      </c>
      <c r="H5" s="13" t="n">
        <v>0.388</v>
      </c>
      <c r="I5" s="13" t="n">
        <v>0.968</v>
      </c>
      <c r="J5" s="14" t="n">
        <v>9.9</v>
      </c>
      <c r="K5" s="14" t="n">
        <v>15.1</v>
      </c>
      <c r="L5" s="14" t="n">
        <v>10.7</v>
      </c>
      <c r="M5" s="12" t="n">
        <v>0.5</v>
      </c>
      <c r="N5" s="12" t="n">
        <v>57</v>
      </c>
      <c r="O5" s="12" t="n">
        <v>2060</v>
      </c>
      <c r="P5" s="12" t="n">
        <v>198</v>
      </c>
      <c r="Q5" s="12" t="s">
        <v>836</v>
      </c>
    </row>
    <row r="6" customFormat="false" ht="15" hidden="false" customHeight="false" outlineLevel="0" collapsed="false">
      <c r="A6" s="12" t="s">
        <v>67</v>
      </c>
      <c r="B6" s="12" t="n">
        <v>-1.5</v>
      </c>
      <c r="C6" s="12" t="n">
        <v>0</v>
      </c>
      <c r="D6" s="12" t="n">
        <v>16</v>
      </c>
      <c r="E6" s="14" t="n">
        <v>0.44</v>
      </c>
      <c r="F6" s="14" t="n">
        <v>5.6</v>
      </c>
      <c r="G6" s="13" t="n">
        <v>0.058</v>
      </c>
      <c r="H6" s="13" t="n">
        <v>-0.005</v>
      </c>
      <c r="I6" s="13" t="n">
        <v>0.95</v>
      </c>
      <c r="J6" s="14" t="n">
        <v>12.7</v>
      </c>
      <c r="K6" s="14" t="n">
        <v>21</v>
      </c>
      <c r="L6" s="14" t="n">
        <v>16.4</v>
      </c>
      <c r="M6" s="12" t="n">
        <v>0.44</v>
      </c>
      <c r="N6" s="12" t="n">
        <v>60</v>
      </c>
      <c r="O6" s="12" t="n">
        <v>1709</v>
      </c>
      <c r="P6" s="12" t="n">
        <v>207</v>
      </c>
      <c r="Q6" s="12" t="s">
        <v>837</v>
      </c>
    </row>
    <row r="7" customFormat="false" ht="15" hidden="false" customHeight="false" outlineLevel="0" collapsed="false">
      <c r="A7" s="12" t="s">
        <v>67</v>
      </c>
      <c r="B7" s="12" t="n">
        <v>-2</v>
      </c>
      <c r="C7" s="12" t="n">
        <v>0</v>
      </c>
      <c r="D7" s="12" t="n">
        <v>16</v>
      </c>
      <c r="E7" s="14" t="n">
        <v>0.43</v>
      </c>
      <c r="F7" s="14" t="n">
        <v>8.5</v>
      </c>
      <c r="G7" s="13" t="n">
        <v>-0.709</v>
      </c>
      <c r="H7" s="13" t="n">
        <v>-0.29</v>
      </c>
      <c r="I7" s="13" t="n">
        <v>0.901</v>
      </c>
      <c r="J7" s="14" t="n">
        <v>19.7</v>
      </c>
      <c r="K7" s="14" t="n">
        <v>24.6</v>
      </c>
      <c r="L7" s="14" t="n">
        <v>19.7</v>
      </c>
      <c r="M7" s="12" t="n">
        <v>0.5</v>
      </c>
      <c r="N7" s="12" t="n">
        <v>66</v>
      </c>
      <c r="O7" s="12" t="n">
        <v>496</v>
      </c>
      <c r="P7" s="12" t="n">
        <v>236</v>
      </c>
      <c r="Q7" s="12" t="s">
        <v>838</v>
      </c>
    </row>
    <row r="8" customFormat="false" ht="15" hidden="false" customHeight="false" outlineLevel="0" collapsed="false">
      <c r="A8" s="12" t="s">
        <v>66</v>
      </c>
      <c r="B8" s="12" t="n">
        <v>0.2</v>
      </c>
      <c r="C8" s="12" t="n">
        <v>0</v>
      </c>
      <c r="D8" s="12" t="n">
        <v>16</v>
      </c>
      <c r="E8" s="14" t="n">
        <v>0.37</v>
      </c>
      <c r="F8" s="14" t="n">
        <v>3.9</v>
      </c>
      <c r="G8" s="13" t="n">
        <v>-1.171</v>
      </c>
      <c r="H8" s="13" t="n">
        <v>0.044</v>
      </c>
      <c r="I8" s="13" t="n">
        <v>0.958</v>
      </c>
      <c r="J8" s="14" t="n">
        <v>10.6</v>
      </c>
      <c r="K8" s="14" t="n">
        <v>21.7</v>
      </c>
      <c r="L8" s="14" t="n">
        <v>13.7</v>
      </c>
      <c r="M8" s="12" t="n">
        <v>0.38</v>
      </c>
      <c r="N8" s="12" t="n">
        <v>93</v>
      </c>
      <c r="O8" s="12" t="n">
        <v>2067</v>
      </c>
      <c r="P8" s="12" t="n">
        <v>190</v>
      </c>
      <c r="Q8" s="12" t="s">
        <v>839</v>
      </c>
    </row>
    <row r="9" customFormat="false" ht="15" hidden="false" customHeight="false" outlineLevel="0" collapsed="false">
      <c r="A9" s="12" t="s">
        <v>66</v>
      </c>
      <c r="B9" s="12" t="n">
        <v>0.3</v>
      </c>
      <c r="C9" s="12" t="n">
        <v>0</v>
      </c>
      <c r="D9" s="12" t="n">
        <v>16</v>
      </c>
      <c r="E9" s="14" t="n">
        <v>0.23</v>
      </c>
      <c r="F9" s="14" t="n">
        <v>8.3</v>
      </c>
      <c r="G9" s="13" t="n">
        <v>-0.015</v>
      </c>
      <c r="H9" s="13" t="n">
        <v>0.6</v>
      </c>
      <c r="I9" s="13" t="n">
        <v>0.732</v>
      </c>
      <c r="J9" s="14" t="n">
        <v>36.1</v>
      </c>
      <c r="K9" s="14" t="n">
        <v>37.6</v>
      </c>
      <c r="L9" s="14" t="n">
        <v>19</v>
      </c>
      <c r="M9" s="12" t="n">
        <v>0.62</v>
      </c>
      <c r="N9" s="12" t="n">
        <v>63</v>
      </c>
      <c r="O9" s="12" t="n">
        <v>2068</v>
      </c>
      <c r="P9" s="12" t="n">
        <v>220</v>
      </c>
      <c r="Q9" s="12" t="s">
        <v>840</v>
      </c>
    </row>
    <row r="10" customFormat="false" ht="15" hidden="false" customHeight="false" outlineLevel="0" collapsed="false">
      <c r="A10" s="12" t="s">
        <v>66</v>
      </c>
      <c r="B10" s="12" t="n">
        <v>0.4</v>
      </c>
      <c r="C10" s="12" t="n">
        <v>0</v>
      </c>
      <c r="D10" s="12" t="n">
        <v>16</v>
      </c>
      <c r="E10" s="14" t="n">
        <v>2.29</v>
      </c>
      <c r="F10" s="14" t="n">
        <v>17.9</v>
      </c>
      <c r="G10" s="13" t="n">
        <v>0.559</v>
      </c>
      <c r="H10" s="13" t="n">
        <v>0.905</v>
      </c>
      <c r="I10" s="13" t="n">
        <v>0.981</v>
      </c>
      <c r="J10" s="14" t="n">
        <v>7.8</v>
      </c>
      <c r="K10" s="14" t="n">
        <v>10.4</v>
      </c>
      <c r="L10" s="14" t="n">
        <v>11.3</v>
      </c>
      <c r="M10" s="12" t="n">
        <v>0.5</v>
      </c>
      <c r="N10" s="12" t="n">
        <v>71</v>
      </c>
      <c r="O10" s="12" t="n">
        <v>2086</v>
      </c>
      <c r="P10" s="12" t="n">
        <v>206</v>
      </c>
      <c r="Q10" s="12" t="s">
        <v>841</v>
      </c>
    </row>
    <row r="11" customFormat="false" ht="15" hidden="false" customHeight="false" outlineLevel="0" collapsed="false">
      <c r="A11" s="12" t="s">
        <v>66</v>
      </c>
      <c r="B11" s="12" t="n">
        <v>0.5</v>
      </c>
      <c r="C11" s="12" t="n">
        <v>0</v>
      </c>
      <c r="D11" s="12" t="n">
        <v>16</v>
      </c>
      <c r="E11" s="14" t="n">
        <v>1.91</v>
      </c>
      <c r="F11" s="14" t="n">
        <v>15.6</v>
      </c>
      <c r="G11" s="13" t="n">
        <v>0.829</v>
      </c>
      <c r="H11" s="13" t="n">
        <v>0.787</v>
      </c>
      <c r="I11" s="13" t="n">
        <v>0.98</v>
      </c>
      <c r="J11" s="14" t="n">
        <v>8.2</v>
      </c>
      <c r="K11" s="14" t="n">
        <v>15.5</v>
      </c>
      <c r="L11" s="14" t="n">
        <v>9.6</v>
      </c>
      <c r="M11" s="12" t="n">
        <v>0.56</v>
      </c>
      <c r="N11" s="12" t="n">
        <v>57</v>
      </c>
      <c r="O11" s="12" t="n">
        <v>2097</v>
      </c>
      <c r="P11" s="12" t="n">
        <v>178</v>
      </c>
      <c r="Q11" s="12" t="s">
        <v>842</v>
      </c>
    </row>
    <row r="12" customFormat="false" ht="15" hidden="false" customHeight="false" outlineLevel="0" collapsed="false">
      <c r="A12" s="12" t="s">
        <v>72</v>
      </c>
      <c r="B12" s="12" t="n">
        <v>3</v>
      </c>
      <c r="C12" s="12" t="n">
        <v>0</v>
      </c>
      <c r="D12" s="12" t="n">
        <v>16</v>
      </c>
      <c r="E12" s="14" t="n">
        <v>1.76</v>
      </c>
      <c r="F12" s="14" t="n">
        <v>12.2</v>
      </c>
      <c r="G12" s="13" t="n">
        <v>0.722</v>
      </c>
      <c r="H12" s="13" t="n">
        <v>0.743</v>
      </c>
      <c r="I12" s="13" t="n">
        <v>0.983</v>
      </c>
      <c r="J12" s="14" t="n">
        <v>6.9</v>
      </c>
      <c r="K12" s="14" t="n">
        <v>8</v>
      </c>
      <c r="L12" s="14" t="n">
        <v>10.6</v>
      </c>
      <c r="M12" s="12" t="n">
        <v>0.75</v>
      </c>
      <c r="N12" s="12" t="n">
        <v>65</v>
      </c>
      <c r="O12" s="12" t="n">
        <v>2113</v>
      </c>
      <c r="P12" s="12" t="n">
        <v>181</v>
      </c>
      <c r="Q12" s="12" t="s">
        <v>843</v>
      </c>
    </row>
    <row r="13" customFormat="false" ht="15" hidden="false" customHeight="false" outlineLevel="0" collapsed="false">
      <c r="A13" s="12" t="s">
        <v>72</v>
      </c>
      <c r="B13" s="12" t="n">
        <v>6</v>
      </c>
      <c r="C13" s="12" t="n">
        <v>0</v>
      </c>
      <c r="D13" s="12" t="n">
        <v>16</v>
      </c>
      <c r="E13" s="14" t="n">
        <v>0.69</v>
      </c>
      <c r="F13" s="14" t="n">
        <v>12.3</v>
      </c>
      <c r="G13" s="13" t="n">
        <v>-0.357</v>
      </c>
      <c r="H13" s="13" t="n">
        <v>-1.187</v>
      </c>
      <c r="I13" s="13" t="n">
        <v>0.903</v>
      </c>
      <c r="J13" s="14" t="n">
        <v>17.7</v>
      </c>
      <c r="K13" s="14" t="n">
        <v>12.7</v>
      </c>
      <c r="L13" s="14" t="n">
        <v>9.2</v>
      </c>
      <c r="M13" s="12" t="n">
        <v>0.62</v>
      </c>
      <c r="N13" s="12" t="n">
        <v>50</v>
      </c>
      <c r="O13" s="12" t="n">
        <v>2045</v>
      </c>
      <c r="P13" s="12" t="n">
        <v>201</v>
      </c>
      <c r="Q13" s="12" t="s">
        <v>844</v>
      </c>
    </row>
    <row r="14" customFormat="false" ht="15" hidden="false" customHeight="false" outlineLevel="0" collapsed="false">
      <c r="A14" s="12" t="s">
        <v>72</v>
      </c>
      <c r="B14" s="12" t="n">
        <v>10</v>
      </c>
      <c r="C14" s="12" t="n">
        <v>0</v>
      </c>
      <c r="D14" s="12" t="n">
        <v>16</v>
      </c>
      <c r="E14" s="14" t="n">
        <v>1.47</v>
      </c>
      <c r="F14" s="14" t="n">
        <v>10.5</v>
      </c>
      <c r="G14" s="13" t="n">
        <v>0.922</v>
      </c>
      <c r="H14" s="13" t="n">
        <v>0.478</v>
      </c>
      <c r="I14" s="13" t="n">
        <v>0.984</v>
      </c>
      <c r="J14" s="14" t="n">
        <v>7.2</v>
      </c>
      <c r="K14" s="14" t="n">
        <v>8.4</v>
      </c>
      <c r="L14" s="14" t="n">
        <v>7.4</v>
      </c>
      <c r="M14" s="12" t="n">
        <v>0.56</v>
      </c>
      <c r="N14" s="12" t="n">
        <v>58</v>
      </c>
      <c r="O14" s="12" t="n">
        <v>1966</v>
      </c>
      <c r="P14" s="12" t="n">
        <v>164</v>
      </c>
      <c r="Q14" s="12" t="s">
        <v>845</v>
      </c>
    </row>
    <row r="15" customFormat="false" ht="15" hidden="false" customHeight="false" outlineLevel="0" collapsed="false">
      <c r="A15" s="12" t="s">
        <v>68</v>
      </c>
      <c r="B15" s="12" t="n">
        <v>-1.13</v>
      </c>
      <c r="C15" s="12" t="n">
        <v>0</v>
      </c>
      <c r="D15" s="12" t="n">
        <v>16</v>
      </c>
      <c r="E15" s="14" t="n">
        <v>2.45</v>
      </c>
      <c r="F15" s="14" t="n">
        <v>16.3</v>
      </c>
      <c r="G15" s="13" t="n">
        <v>0.931</v>
      </c>
      <c r="H15" s="13" t="n">
        <v>0.649</v>
      </c>
      <c r="I15" s="13" t="n">
        <v>0.986</v>
      </c>
      <c r="J15" s="14" t="n">
        <v>6.6</v>
      </c>
      <c r="K15" s="14" t="n">
        <v>9</v>
      </c>
      <c r="L15" s="14" t="n">
        <v>7.3</v>
      </c>
      <c r="M15" s="12" t="n">
        <v>0.5</v>
      </c>
      <c r="N15" s="12" t="n">
        <v>67</v>
      </c>
      <c r="O15" s="12" t="n">
        <v>2234</v>
      </c>
      <c r="P15" s="12" t="n">
        <v>190</v>
      </c>
      <c r="Q15" s="12" t="s">
        <v>846</v>
      </c>
    </row>
    <row r="16" customFormat="false" ht="15" hidden="false" customHeight="false" outlineLevel="0" collapsed="false">
      <c r="A16" s="12" t="s">
        <v>68</v>
      </c>
      <c r="B16" s="12" t="n">
        <v>-0.93</v>
      </c>
      <c r="C16" s="12" t="n">
        <v>0</v>
      </c>
      <c r="D16" s="12" t="n">
        <v>16</v>
      </c>
      <c r="E16" s="14" t="n">
        <v>2.98</v>
      </c>
      <c r="F16" s="14" t="n">
        <v>13</v>
      </c>
      <c r="G16" s="13" t="n">
        <v>0.779</v>
      </c>
      <c r="H16" s="13" t="n">
        <v>0.957</v>
      </c>
      <c r="I16" s="13" t="n">
        <v>0.994</v>
      </c>
      <c r="J16" s="14" t="n">
        <v>4.4</v>
      </c>
      <c r="K16" s="14" t="n">
        <v>9.6</v>
      </c>
      <c r="L16" s="14" t="n">
        <v>6.7</v>
      </c>
      <c r="M16" s="12" t="n">
        <v>0.75</v>
      </c>
      <c r="N16" s="12" t="n">
        <v>62</v>
      </c>
      <c r="O16" s="12" t="n">
        <v>2077</v>
      </c>
      <c r="P16" s="12" t="n">
        <v>203</v>
      </c>
      <c r="Q16" s="12" t="s">
        <v>847</v>
      </c>
    </row>
    <row r="17" customFormat="false" ht="15" hidden="false" customHeight="false" outlineLevel="0" collapsed="false">
      <c r="A17" s="12" t="s">
        <v>68</v>
      </c>
      <c r="B17" s="12" t="n">
        <v>-0.73</v>
      </c>
      <c r="C17" s="12" t="n">
        <v>0</v>
      </c>
      <c r="D17" s="12" t="n">
        <v>16</v>
      </c>
      <c r="E17" s="14" t="n">
        <v>2.31</v>
      </c>
      <c r="F17" s="14" t="n">
        <v>15.5</v>
      </c>
      <c r="G17" s="13" t="n">
        <v>0.867</v>
      </c>
      <c r="H17" s="13" t="n">
        <v>0.81</v>
      </c>
      <c r="I17" s="13" t="n">
        <v>0.987</v>
      </c>
      <c r="J17" s="14" t="n">
        <v>6.7</v>
      </c>
      <c r="K17" s="14" t="n">
        <v>9.8</v>
      </c>
      <c r="L17" s="14" t="n">
        <v>6.8</v>
      </c>
      <c r="M17" s="12" t="n">
        <v>0.44</v>
      </c>
      <c r="N17" s="12" t="n">
        <v>58</v>
      </c>
      <c r="O17" s="12" t="n">
        <v>1894</v>
      </c>
      <c r="P17" s="12" t="n">
        <v>185</v>
      </c>
      <c r="Q17" s="12" t="s">
        <v>848</v>
      </c>
    </row>
    <row r="18" customFormat="false" ht="15" hidden="false" customHeight="false" outlineLevel="0" collapsed="false">
      <c r="A18" s="10" t="s">
        <v>849</v>
      </c>
    </row>
    <row r="19" customFormat="false" ht="26.85" hidden="false" customHeight="false" outlineLevel="0" collapsed="false">
      <c r="A19" s="17" t="s">
        <v>850</v>
      </c>
      <c r="B19" s="17" t="s">
        <v>476</v>
      </c>
      <c r="C19" s="6"/>
      <c r="D19" s="17" t="s">
        <v>826</v>
      </c>
      <c r="E19" s="17" t="s">
        <v>827</v>
      </c>
      <c r="F19" s="6" t="s">
        <v>828</v>
      </c>
      <c r="G19" s="17" t="s">
        <v>829</v>
      </c>
      <c r="H19" s="17" t="s">
        <v>830</v>
      </c>
      <c r="I19" s="6" t="s">
        <v>831</v>
      </c>
      <c r="J19" s="17" t="s">
        <v>832</v>
      </c>
      <c r="K19" s="6" t="s">
        <v>833</v>
      </c>
      <c r="L19" s="17" t="s">
        <v>92</v>
      </c>
      <c r="M19" s="17" t="s">
        <v>834</v>
      </c>
      <c r="N19" s="17" t="s">
        <v>851</v>
      </c>
      <c r="O19" s="17" t="s">
        <v>852</v>
      </c>
      <c r="P19" s="6"/>
      <c r="Q19" s="17" t="s">
        <v>63</v>
      </c>
    </row>
    <row r="20" customFormat="false" ht="15" hidden="false" customHeight="false" outlineLevel="0" collapsed="false">
      <c r="A20" s="12" t="s">
        <v>853</v>
      </c>
      <c r="B20" s="12" t="s">
        <v>854</v>
      </c>
      <c r="C20" s="12"/>
      <c r="D20" s="12" t="n">
        <v>16</v>
      </c>
      <c r="E20" s="14" t="n">
        <v>2.311033958559</v>
      </c>
      <c r="F20" s="14" t="n">
        <v>15.4615224233449</v>
      </c>
      <c r="G20" s="13" t="n">
        <v>0.866625605338156</v>
      </c>
      <c r="H20" s="13" t="n">
        <v>0.809665810243598</v>
      </c>
      <c r="I20" s="13" t="n">
        <v>0.987078183703567</v>
      </c>
      <c r="J20" s="14" t="n">
        <v>6.69030516236358</v>
      </c>
      <c r="K20" s="14" t="n">
        <v>9.84582155169275</v>
      </c>
      <c r="L20" s="14" t="n">
        <v>6.76497460089178</v>
      </c>
      <c r="M20" s="12" t="n">
        <v>0.4375</v>
      </c>
      <c r="N20" s="12" t="n">
        <v>0.235628354386336</v>
      </c>
      <c r="O20" s="12" t="n">
        <v>3.73822927756521</v>
      </c>
      <c r="P20" s="12"/>
      <c r="Q20" s="12"/>
    </row>
    <row r="21" customFormat="false" ht="15" hidden="false" customHeight="false" outlineLevel="0" collapsed="false">
      <c r="A21" s="12" t="s">
        <v>855</v>
      </c>
      <c r="B21" s="12" t="s">
        <v>529</v>
      </c>
      <c r="C21" s="12"/>
      <c r="D21" s="12" t="n">
        <v>32</v>
      </c>
      <c r="E21" s="14" t="n">
        <v>1.33483536069677</v>
      </c>
      <c r="F21" s="14" t="n">
        <v>12.2375158027393</v>
      </c>
      <c r="G21" s="13" t="n">
        <v>0.648182311946455</v>
      </c>
      <c r="H21" s="13" t="n">
        <v>0.469017812517905</v>
      </c>
      <c r="I21" s="13" t="n">
        <v>0.974335606732804</v>
      </c>
      <c r="J21" s="14" t="n">
        <v>9.16780912692587</v>
      </c>
      <c r="K21" s="14" t="n">
        <v>10.883358320224</v>
      </c>
      <c r="L21" s="14" t="n">
        <v>7.33969264767552</v>
      </c>
      <c r="M21" s="12" t="n">
        <v>0.53125</v>
      </c>
      <c r="N21" s="12" t="n">
        <v>2.46821401329419</v>
      </c>
      <c r="O21" s="12" t="n">
        <v>1.64534260552591</v>
      </c>
      <c r="P21" s="12"/>
      <c r="Q21" s="12"/>
    </row>
    <row r="22" customFormat="false" ht="15" hidden="false" customHeight="false" outlineLevel="0" collapsed="false">
      <c r="A22" s="12" t="s">
        <v>856</v>
      </c>
      <c r="B22" s="12" t="s">
        <v>529</v>
      </c>
      <c r="C22" s="12"/>
      <c r="D22" s="12" t="n">
        <v>32</v>
      </c>
      <c r="E22" s="14" t="n">
        <v>2.20192758971365</v>
      </c>
      <c r="F22" s="14" t="n">
        <v>16.099794612202</v>
      </c>
      <c r="G22" s="13" t="n">
        <v>0.559098431268934</v>
      </c>
      <c r="H22" s="13" t="n">
        <v>0.926470162329559</v>
      </c>
      <c r="I22" s="13" t="n">
        <v>0.983779342187729</v>
      </c>
      <c r="J22" s="14" t="n">
        <v>7.31168213133465</v>
      </c>
      <c r="K22" s="14" t="n">
        <v>9.04948685699912</v>
      </c>
      <c r="L22" s="14" t="n">
        <v>6.8229513007322</v>
      </c>
      <c r="M22" s="12" t="n">
        <v>0.5625</v>
      </c>
      <c r="N22" s="12" t="n">
        <v>0.232551735069251</v>
      </c>
      <c r="O22" s="12" t="n">
        <v>1.66078239075989</v>
      </c>
      <c r="P22" s="12"/>
      <c r="Q22" s="12"/>
    </row>
    <row r="23" customFormat="false" ht="15" hidden="false" customHeight="false" outlineLevel="0" collapsed="false">
      <c r="A23" s="12" t="s">
        <v>857</v>
      </c>
      <c r="B23" s="12" t="s">
        <v>529</v>
      </c>
      <c r="C23" s="12"/>
      <c r="D23" s="12" t="n">
        <v>32</v>
      </c>
      <c r="E23" s="14" t="n">
        <v>1.92214223599023</v>
      </c>
      <c r="F23" s="14" t="n">
        <v>12.0323628219671</v>
      </c>
      <c r="G23" s="13" t="n">
        <v>0.814935480653168</v>
      </c>
      <c r="H23" s="13" t="n">
        <v>0.79998173538007</v>
      </c>
      <c r="I23" s="13" t="n">
        <v>0.986917905875715</v>
      </c>
      <c r="J23" s="14" t="n">
        <v>6.25987119822504</v>
      </c>
      <c r="K23" s="14" t="n">
        <v>9.82420175581147</v>
      </c>
      <c r="L23" s="14" t="n">
        <v>7.29598594736646</v>
      </c>
      <c r="M23" s="12" t="n">
        <v>0.59375</v>
      </c>
      <c r="N23" s="12" t="n">
        <v>0.248373568968532</v>
      </c>
      <c r="O23" s="12" t="n">
        <v>3.49543437616342</v>
      </c>
      <c r="P23" s="12"/>
      <c r="Q23" s="12"/>
    </row>
    <row r="24" customFormat="false" ht="15" hidden="false" customHeight="false" outlineLevel="0" collapsed="false">
      <c r="A24" s="16" t="s">
        <v>858</v>
      </c>
    </row>
    <row r="26" customFormat="false" ht="15" hidden="false" customHeight="false" outlineLevel="0" collapsed="false">
      <c r="A26" s="10" t="s">
        <v>859</v>
      </c>
    </row>
    <row r="27" customFormat="false" ht="26.85" hidden="false" customHeight="false" outlineLevel="0" collapsed="false">
      <c r="A27" s="6" t="s">
        <v>824</v>
      </c>
      <c r="B27" s="6" t="s">
        <v>29</v>
      </c>
      <c r="C27" s="6" t="s">
        <v>825</v>
      </c>
      <c r="D27" s="17" t="s">
        <v>826</v>
      </c>
      <c r="E27" s="17" t="s">
        <v>827</v>
      </c>
      <c r="F27" s="6" t="s">
        <v>828</v>
      </c>
      <c r="G27" s="17" t="s">
        <v>829</v>
      </c>
      <c r="H27" s="17" t="s">
        <v>830</v>
      </c>
      <c r="I27" s="6" t="s">
        <v>831</v>
      </c>
      <c r="J27" s="17" t="s">
        <v>832</v>
      </c>
      <c r="K27" s="6" t="s">
        <v>833</v>
      </c>
      <c r="L27" s="17" t="s">
        <v>92</v>
      </c>
      <c r="M27" s="17" t="s">
        <v>834</v>
      </c>
      <c r="N27" s="17" t="s">
        <v>96</v>
      </c>
      <c r="O27" s="17" t="s">
        <v>835</v>
      </c>
      <c r="P27" s="17" t="s">
        <v>815</v>
      </c>
      <c r="Q27" s="17" t="s">
        <v>63</v>
      </c>
    </row>
    <row r="28" customFormat="false" ht="15" hidden="false" customHeight="false" outlineLevel="0" collapsed="false">
      <c r="A28" s="12" t="s">
        <v>66</v>
      </c>
      <c r="B28" s="12" t="n">
        <v>0.4</v>
      </c>
      <c r="C28" s="12" t="n">
        <v>1</v>
      </c>
      <c r="D28" s="12" t="n">
        <v>16</v>
      </c>
      <c r="E28" s="14" t="n">
        <v>2.69</v>
      </c>
      <c r="F28" s="14" t="n">
        <v>15.1</v>
      </c>
      <c r="G28" s="13" t="n">
        <v>0.888</v>
      </c>
      <c r="H28" s="13" t="n">
        <v>0.74</v>
      </c>
      <c r="I28" s="13" t="n">
        <v>0.99</v>
      </c>
      <c r="J28" s="14" t="n">
        <v>5.6</v>
      </c>
      <c r="K28" s="14" t="n">
        <v>8.2</v>
      </c>
      <c r="L28" s="14" t="n">
        <v>8.5</v>
      </c>
      <c r="M28" s="12" t="n">
        <v>0.5</v>
      </c>
      <c r="N28" s="12" t="n">
        <v>64</v>
      </c>
      <c r="O28" s="12" t="n">
        <v>2095</v>
      </c>
      <c r="P28" s="12" t="n">
        <v>204</v>
      </c>
      <c r="Q28" s="12" t="s">
        <v>860</v>
      </c>
    </row>
    <row r="29" customFormat="false" ht="15" hidden="false" customHeight="false" outlineLevel="0" collapsed="false">
      <c r="A29" s="12" t="s">
        <v>66</v>
      </c>
      <c r="B29" s="12" t="n">
        <v>0.3</v>
      </c>
      <c r="C29" s="12" t="n">
        <v>0</v>
      </c>
      <c r="D29" s="12" t="n">
        <v>16</v>
      </c>
      <c r="E29" s="14" t="n">
        <v>1.09</v>
      </c>
      <c r="F29" s="14" t="n">
        <v>8.2</v>
      </c>
      <c r="G29" s="13" t="n">
        <v>0.534</v>
      </c>
      <c r="H29" s="13" t="n">
        <v>0.154</v>
      </c>
      <c r="I29" s="13" t="n">
        <v>0.98</v>
      </c>
      <c r="J29" s="14" t="n">
        <v>7.5</v>
      </c>
      <c r="K29" s="14" t="n">
        <v>8.9</v>
      </c>
      <c r="L29" s="14" t="n">
        <v>10.3</v>
      </c>
      <c r="M29" s="12" t="n">
        <v>0.44</v>
      </c>
      <c r="N29" s="12" t="n">
        <v>54</v>
      </c>
      <c r="O29" s="12" t="n">
        <v>2090</v>
      </c>
      <c r="P29" s="12" t="n">
        <v>190</v>
      </c>
      <c r="Q29" s="12" t="s">
        <v>861</v>
      </c>
    </row>
    <row r="30" customFormat="false" ht="15" hidden="false" customHeight="false" outlineLevel="0" collapsed="false">
      <c r="A30" s="12" t="s">
        <v>66</v>
      </c>
      <c r="B30" s="12" t="n">
        <v>0.4</v>
      </c>
      <c r="C30" s="12" t="n">
        <v>0</v>
      </c>
      <c r="D30" s="12" t="n">
        <v>16</v>
      </c>
      <c r="E30" s="14" t="n">
        <v>2.08</v>
      </c>
      <c r="F30" s="14" t="n">
        <v>14</v>
      </c>
      <c r="G30" s="13" t="n">
        <v>0.784</v>
      </c>
      <c r="H30" s="13" t="n">
        <v>0.898</v>
      </c>
      <c r="I30" s="13" t="n">
        <v>0.986</v>
      </c>
      <c r="J30" s="14" t="n">
        <v>6.7</v>
      </c>
      <c r="K30" s="14" t="n">
        <v>10.9</v>
      </c>
      <c r="L30" s="14" t="n">
        <v>10.3</v>
      </c>
      <c r="M30" s="12" t="n">
        <v>0.56</v>
      </c>
      <c r="N30" s="12" t="n">
        <v>55</v>
      </c>
      <c r="O30" s="12" t="n">
        <v>2092</v>
      </c>
      <c r="P30" s="12" t="n">
        <v>188</v>
      </c>
      <c r="Q30" s="12" t="s">
        <v>862</v>
      </c>
    </row>
    <row r="31" customFormat="false" ht="15" hidden="false" customHeight="false" outlineLevel="0" collapsed="false">
      <c r="A31" s="12" t="s">
        <v>66</v>
      </c>
      <c r="B31" s="12" t="n">
        <v>0.5</v>
      </c>
      <c r="C31" s="12" t="n">
        <v>0</v>
      </c>
      <c r="D31" s="12" t="n">
        <v>16</v>
      </c>
      <c r="E31" s="14" t="n">
        <v>3.69</v>
      </c>
      <c r="F31" s="14" t="n">
        <v>22.2</v>
      </c>
      <c r="G31" s="13" t="n">
        <v>0.94</v>
      </c>
      <c r="H31" s="13" t="n">
        <v>0.926</v>
      </c>
      <c r="I31" s="13" t="n">
        <v>0.99</v>
      </c>
      <c r="J31" s="14" t="n">
        <v>6</v>
      </c>
      <c r="K31" s="14" t="n">
        <v>8.7</v>
      </c>
      <c r="L31" s="14" t="n">
        <v>7.2</v>
      </c>
      <c r="M31" s="12" t="n">
        <v>0.5</v>
      </c>
      <c r="N31" s="12" t="n">
        <v>66</v>
      </c>
      <c r="O31" s="12" t="n">
        <v>2103</v>
      </c>
      <c r="P31" s="12" t="n">
        <v>189</v>
      </c>
      <c r="Q31" s="12" t="s">
        <v>863</v>
      </c>
    </row>
    <row r="32" customFormat="false" ht="15" hidden="false" customHeight="false" outlineLevel="0" collapsed="false">
      <c r="A32" s="12" t="s">
        <v>66</v>
      </c>
      <c r="B32" s="12" t="n">
        <v>0.4</v>
      </c>
      <c r="C32" s="12" t="n">
        <v>1</v>
      </c>
      <c r="D32" s="12" t="n">
        <v>16</v>
      </c>
      <c r="E32" s="14" t="n">
        <v>2.28</v>
      </c>
      <c r="F32" s="14" t="n">
        <v>14.6</v>
      </c>
      <c r="G32" s="13" t="n">
        <v>0.833</v>
      </c>
      <c r="H32" s="13" t="n">
        <v>0.847</v>
      </c>
      <c r="I32" s="13" t="n">
        <v>0.987</v>
      </c>
      <c r="J32" s="14" t="n">
        <v>6.4</v>
      </c>
      <c r="K32" s="14" t="n">
        <v>8.8</v>
      </c>
      <c r="L32" s="14" t="n">
        <v>8</v>
      </c>
      <c r="M32" s="12" t="n">
        <v>0.56</v>
      </c>
      <c r="N32" s="12" t="n">
        <v>49</v>
      </c>
      <c r="O32" s="12" t="n">
        <v>2108</v>
      </c>
      <c r="P32" s="12" t="n">
        <v>194</v>
      </c>
      <c r="Q32" s="12" t="s">
        <v>864</v>
      </c>
    </row>
    <row r="33" customFormat="false" ht="15" hidden="false" customHeight="false" outlineLevel="0" collapsed="false">
      <c r="A33" s="12" t="s">
        <v>66</v>
      </c>
      <c r="B33" s="12" t="n">
        <v>0.6</v>
      </c>
      <c r="C33" s="12" t="n">
        <v>0</v>
      </c>
      <c r="D33" s="12" t="n">
        <v>16</v>
      </c>
      <c r="E33" s="14" t="n">
        <v>4.73</v>
      </c>
      <c r="F33" s="14" t="n">
        <v>34.5</v>
      </c>
      <c r="G33" s="13" t="n">
        <v>0.957</v>
      </c>
      <c r="H33" s="13" t="n">
        <v>0.943</v>
      </c>
      <c r="I33" s="13" t="n">
        <v>0.987</v>
      </c>
      <c r="J33" s="14" t="n">
        <v>7.3</v>
      </c>
      <c r="K33" s="14" t="n">
        <v>9.9</v>
      </c>
      <c r="L33" s="14" t="n">
        <v>7.3</v>
      </c>
      <c r="M33" s="12" t="n">
        <v>0.5</v>
      </c>
      <c r="N33" s="12" t="n">
        <v>68</v>
      </c>
      <c r="O33" s="12" t="n">
        <v>2102</v>
      </c>
      <c r="P33" s="12" t="n">
        <v>210</v>
      </c>
      <c r="Q33" s="12" t="s">
        <v>865</v>
      </c>
    </row>
    <row r="34" customFormat="false" ht="15" hidden="false" customHeight="false" outlineLevel="0" collapsed="false">
      <c r="A34" s="12" t="s">
        <v>66</v>
      </c>
      <c r="B34" s="12" t="n">
        <v>0.4</v>
      </c>
      <c r="C34" s="12" t="n">
        <v>1</v>
      </c>
      <c r="D34" s="12" t="n">
        <v>16</v>
      </c>
      <c r="E34" s="14" t="n">
        <v>1.94</v>
      </c>
      <c r="F34" s="14" t="n">
        <v>15</v>
      </c>
      <c r="G34" s="13" t="n">
        <v>0.789</v>
      </c>
      <c r="H34" s="13" t="n">
        <v>0.782</v>
      </c>
      <c r="I34" s="13" t="n">
        <v>0.982</v>
      </c>
      <c r="J34" s="14" t="n">
        <v>7.8</v>
      </c>
      <c r="K34" s="14" t="n">
        <v>13.5</v>
      </c>
      <c r="L34" s="14" t="n">
        <v>9.9</v>
      </c>
      <c r="M34" s="12" t="n">
        <v>0.38</v>
      </c>
      <c r="N34" s="12" t="n">
        <v>50</v>
      </c>
      <c r="O34" s="12" t="n">
        <v>2094</v>
      </c>
      <c r="P34" s="12" t="n">
        <v>198</v>
      </c>
      <c r="Q34" s="12" t="s">
        <v>866</v>
      </c>
    </row>
    <row r="35" customFormat="false" ht="15" hidden="false" customHeight="false" outlineLevel="0" collapsed="false">
      <c r="A35" s="12" t="s">
        <v>72</v>
      </c>
      <c r="B35" s="12" t="n">
        <v>3</v>
      </c>
      <c r="C35" s="12" t="n">
        <v>1</v>
      </c>
      <c r="D35" s="12" t="n">
        <v>16</v>
      </c>
      <c r="E35" s="14" t="n">
        <v>2.1</v>
      </c>
      <c r="F35" s="14" t="n">
        <v>34</v>
      </c>
      <c r="G35" s="13" t="n">
        <v>0.689</v>
      </c>
      <c r="H35" s="13" t="n">
        <v>0.72</v>
      </c>
      <c r="I35" s="13" t="n">
        <v>0.933</v>
      </c>
      <c r="J35" s="14" t="n">
        <v>16.2</v>
      </c>
      <c r="K35" s="14" t="n">
        <v>19.8</v>
      </c>
      <c r="L35" s="14" t="n">
        <v>10.6</v>
      </c>
      <c r="M35" s="12" t="n">
        <v>0.62</v>
      </c>
      <c r="N35" s="12" t="n">
        <v>72</v>
      </c>
      <c r="O35" s="12" t="n">
        <v>2114</v>
      </c>
      <c r="P35" s="12" t="n">
        <v>202</v>
      </c>
      <c r="Q35" s="12" t="s">
        <v>867</v>
      </c>
    </row>
    <row r="36" customFormat="false" ht="15" hidden="false" customHeight="false" outlineLevel="0" collapsed="false">
      <c r="A36" s="12" t="s">
        <v>72</v>
      </c>
      <c r="B36" s="12" t="n">
        <v>3</v>
      </c>
      <c r="C36" s="12" t="n">
        <v>0</v>
      </c>
      <c r="D36" s="12" t="n">
        <v>16</v>
      </c>
      <c r="E36" s="14" t="n">
        <v>6.76</v>
      </c>
      <c r="F36" s="14" t="n">
        <v>30.9</v>
      </c>
      <c r="G36" s="13" t="n">
        <v>0.988</v>
      </c>
      <c r="H36" s="13" t="n">
        <v>0.964</v>
      </c>
      <c r="I36" s="13" t="n">
        <v>0.994</v>
      </c>
      <c r="J36" s="14" t="n">
        <v>4.6</v>
      </c>
      <c r="K36" s="14" t="n">
        <v>7.7</v>
      </c>
      <c r="L36" s="14" t="n">
        <v>7</v>
      </c>
      <c r="M36" s="12" t="n">
        <v>0.69</v>
      </c>
      <c r="N36" s="12" t="n">
        <v>56</v>
      </c>
      <c r="O36" s="12" t="n">
        <v>2145</v>
      </c>
      <c r="P36" s="12" t="n">
        <v>184</v>
      </c>
      <c r="Q36" s="12" t="s">
        <v>868</v>
      </c>
    </row>
    <row r="37" customFormat="false" ht="15" hidden="false" customHeight="false" outlineLevel="0" collapsed="false">
      <c r="A37" s="12" t="s">
        <v>72</v>
      </c>
      <c r="B37" s="12" t="n">
        <v>6</v>
      </c>
      <c r="C37" s="12" t="n">
        <v>0</v>
      </c>
      <c r="D37" s="12" t="n">
        <v>16</v>
      </c>
      <c r="E37" s="14" t="n">
        <v>3.18</v>
      </c>
      <c r="F37" s="14" t="n">
        <v>33.1</v>
      </c>
      <c r="G37" s="13" t="n">
        <v>0.857</v>
      </c>
      <c r="H37" s="13" t="n">
        <v>0.935</v>
      </c>
      <c r="I37" s="13" t="n">
        <v>0.973</v>
      </c>
      <c r="J37" s="14" t="n">
        <v>10.4</v>
      </c>
      <c r="K37" s="14" t="n">
        <v>12.6</v>
      </c>
      <c r="L37" s="14" t="n">
        <v>15.7</v>
      </c>
      <c r="M37" s="12" t="n">
        <v>0.5</v>
      </c>
      <c r="N37" s="12" t="n">
        <v>77</v>
      </c>
      <c r="O37" s="12" t="n">
        <v>2116</v>
      </c>
      <c r="P37" s="12" t="n">
        <v>193</v>
      </c>
      <c r="Q37" s="12" t="s">
        <v>869</v>
      </c>
    </row>
    <row r="38" customFormat="false" ht="15" hidden="false" customHeight="false" outlineLevel="0" collapsed="false">
      <c r="A38" s="12" t="s">
        <v>72</v>
      </c>
      <c r="B38" s="12" t="n">
        <v>10</v>
      </c>
      <c r="C38" s="12" t="n">
        <v>0</v>
      </c>
      <c r="D38" s="12" t="n">
        <v>16</v>
      </c>
      <c r="E38" s="14" t="n">
        <v>4.48</v>
      </c>
      <c r="F38" s="14" t="n">
        <v>33.4</v>
      </c>
      <c r="G38" s="13" t="n">
        <v>0.907</v>
      </c>
      <c r="H38" s="13" t="n">
        <v>0.963</v>
      </c>
      <c r="I38" s="13" t="n">
        <v>0.984</v>
      </c>
      <c r="J38" s="14" t="n">
        <v>7.5</v>
      </c>
      <c r="K38" s="14" t="n">
        <v>10.6</v>
      </c>
      <c r="L38" s="14" t="n">
        <v>10.2</v>
      </c>
      <c r="M38" s="12" t="n">
        <v>0.44</v>
      </c>
      <c r="N38" s="12" t="n">
        <v>70</v>
      </c>
      <c r="O38" s="12" t="n">
        <v>2142</v>
      </c>
      <c r="P38" s="12" t="n">
        <v>196</v>
      </c>
      <c r="Q38" s="12" t="s">
        <v>870</v>
      </c>
    </row>
    <row r="39" customFormat="false" ht="15" hidden="false" customHeight="false" outlineLevel="0" collapsed="false">
      <c r="A39" s="12" t="s">
        <v>72</v>
      </c>
      <c r="B39" s="12" t="n">
        <v>3</v>
      </c>
      <c r="C39" s="12" t="n">
        <v>1</v>
      </c>
      <c r="D39" s="12" t="n">
        <v>16</v>
      </c>
      <c r="E39" s="14" t="n">
        <v>1.84</v>
      </c>
      <c r="F39" s="14" t="n">
        <v>31.4</v>
      </c>
      <c r="G39" s="13" t="n">
        <v>0.716</v>
      </c>
      <c r="H39" s="13" t="n">
        <v>0.833</v>
      </c>
      <c r="I39" s="13" t="n">
        <v>0.934</v>
      </c>
      <c r="J39" s="14" t="n">
        <v>17.1</v>
      </c>
      <c r="K39" s="14" t="n">
        <v>16.1</v>
      </c>
      <c r="L39" s="14" t="n">
        <v>7.8</v>
      </c>
      <c r="M39" s="12" t="n">
        <v>0.94</v>
      </c>
      <c r="N39" s="12" t="n">
        <v>58</v>
      </c>
      <c r="O39" s="12" t="n">
        <v>2115</v>
      </c>
      <c r="P39" s="12" t="n">
        <v>183</v>
      </c>
      <c r="Q39" s="12" t="s">
        <v>871</v>
      </c>
    </row>
    <row r="40" customFormat="false" ht="15" hidden="false" customHeight="false" outlineLevel="0" collapsed="false">
      <c r="A40" s="12" t="s">
        <v>68</v>
      </c>
      <c r="B40" s="12" t="n">
        <v>-0.93</v>
      </c>
      <c r="C40" s="12" t="n">
        <v>1</v>
      </c>
      <c r="D40" s="12" t="n">
        <v>16</v>
      </c>
      <c r="E40" s="14" t="n">
        <v>2.7</v>
      </c>
      <c r="F40" s="14" t="n">
        <v>29.1</v>
      </c>
      <c r="G40" s="13" t="n">
        <v>0.87</v>
      </c>
      <c r="H40" s="13" t="n">
        <v>0.899</v>
      </c>
      <c r="I40" s="13" t="n">
        <v>0.968</v>
      </c>
      <c r="J40" s="14" t="n">
        <v>10.8</v>
      </c>
      <c r="K40" s="14" t="n">
        <v>9.9</v>
      </c>
      <c r="L40" s="14" t="n">
        <v>8.5</v>
      </c>
      <c r="M40" s="12" t="n">
        <v>0.62</v>
      </c>
      <c r="N40" s="12" t="n">
        <v>60</v>
      </c>
      <c r="O40" s="12" t="n">
        <v>2148</v>
      </c>
      <c r="P40" s="12" t="n">
        <v>172</v>
      </c>
      <c r="Q40" s="12" t="s">
        <v>872</v>
      </c>
    </row>
    <row r="41" customFormat="false" ht="15" hidden="false" customHeight="false" outlineLevel="0" collapsed="false">
      <c r="A41" s="12" t="s">
        <v>68</v>
      </c>
      <c r="B41" s="12" t="n">
        <v>-1.13</v>
      </c>
      <c r="C41" s="12" t="n">
        <v>0</v>
      </c>
      <c r="D41" s="12" t="n">
        <v>16</v>
      </c>
      <c r="E41" s="14" t="n">
        <v>3.63</v>
      </c>
      <c r="F41" s="14" t="n">
        <v>30.9</v>
      </c>
      <c r="G41" s="13" t="n">
        <v>0.915</v>
      </c>
      <c r="H41" s="13" t="n">
        <v>0.914</v>
      </c>
      <c r="I41" s="13" t="n">
        <v>0.98</v>
      </c>
      <c r="J41" s="14" t="n">
        <v>8.5</v>
      </c>
      <c r="K41" s="14" t="n">
        <v>9.8</v>
      </c>
      <c r="L41" s="14" t="n">
        <v>9.7</v>
      </c>
      <c r="M41" s="12" t="n">
        <v>0.75</v>
      </c>
      <c r="N41" s="12" t="n">
        <v>80</v>
      </c>
      <c r="O41" s="12" t="n">
        <v>2295</v>
      </c>
      <c r="P41" s="12" t="n">
        <v>180</v>
      </c>
      <c r="Q41" s="12" t="s">
        <v>873</v>
      </c>
    </row>
    <row r="42" customFormat="false" ht="15" hidden="false" customHeight="false" outlineLevel="0" collapsed="false">
      <c r="A42" s="12" t="s">
        <v>68</v>
      </c>
      <c r="B42" s="12" t="n">
        <v>-0.93</v>
      </c>
      <c r="C42" s="12" t="n">
        <v>0</v>
      </c>
      <c r="D42" s="12" t="n">
        <v>16</v>
      </c>
      <c r="E42" s="14" t="n">
        <v>5.75</v>
      </c>
      <c r="F42" s="14" t="n">
        <v>34.5</v>
      </c>
      <c r="G42" s="13" t="n">
        <v>0.971</v>
      </c>
      <c r="H42" s="13" t="n">
        <v>0.962</v>
      </c>
      <c r="I42" s="13" t="n">
        <v>0.99</v>
      </c>
      <c r="J42" s="14" t="n">
        <v>6</v>
      </c>
      <c r="K42" s="14" t="n">
        <v>7.6</v>
      </c>
      <c r="L42" s="14" t="n">
        <v>8.8</v>
      </c>
      <c r="M42" s="12" t="n">
        <v>0.75</v>
      </c>
      <c r="N42" s="12" t="n">
        <v>79</v>
      </c>
      <c r="O42" s="12" t="n">
        <v>2130</v>
      </c>
      <c r="P42" s="12" t="n">
        <v>200</v>
      </c>
      <c r="Q42" s="12" t="s">
        <v>874</v>
      </c>
    </row>
    <row r="43" customFormat="false" ht="15" hidden="false" customHeight="false" outlineLevel="0" collapsed="false">
      <c r="A43" s="12" t="s">
        <v>68</v>
      </c>
      <c r="B43" s="12" t="n">
        <v>-0.73</v>
      </c>
      <c r="C43" s="12" t="n">
        <v>0</v>
      </c>
      <c r="D43" s="12" t="n">
        <v>16</v>
      </c>
      <c r="E43" s="14" t="n">
        <v>3.61</v>
      </c>
      <c r="F43" s="14" t="n">
        <v>32</v>
      </c>
      <c r="G43" s="13" t="n">
        <v>0.927</v>
      </c>
      <c r="H43" s="13" t="n">
        <v>0.91</v>
      </c>
      <c r="I43" s="13" t="n">
        <v>0.979</v>
      </c>
      <c r="J43" s="14" t="n">
        <v>8.9</v>
      </c>
      <c r="K43" s="14" t="n">
        <v>11.4</v>
      </c>
      <c r="L43" s="14" t="n">
        <v>8.8</v>
      </c>
      <c r="M43" s="12" t="n">
        <v>0.62</v>
      </c>
      <c r="N43" s="12" t="n">
        <v>59</v>
      </c>
      <c r="O43" s="12" t="n">
        <v>1945</v>
      </c>
      <c r="P43" s="12" t="n">
        <v>193</v>
      </c>
      <c r="Q43" s="12" t="s">
        <v>875</v>
      </c>
    </row>
    <row r="44" customFormat="false" ht="15" hidden="false" customHeight="false" outlineLevel="0" collapsed="false">
      <c r="A44" s="12" t="s">
        <v>68</v>
      </c>
      <c r="B44" s="12" t="n">
        <v>-0.93</v>
      </c>
      <c r="C44" s="12" t="n">
        <v>1</v>
      </c>
      <c r="D44" s="12" t="n">
        <v>16</v>
      </c>
      <c r="E44" s="14" t="n">
        <v>3.24</v>
      </c>
      <c r="F44" s="14" t="n">
        <v>33.5</v>
      </c>
      <c r="G44" s="13" t="n">
        <v>0.894</v>
      </c>
      <c r="H44" s="13" t="n">
        <v>0.863</v>
      </c>
      <c r="I44" s="13" t="n">
        <v>0.97</v>
      </c>
      <c r="J44" s="14" t="n">
        <v>10.3</v>
      </c>
      <c r="K44" s="14" t="n">
        <v>10.3</v>
      </c>
      <c r="L44" s="14" t="n">
        <v>8.8</v>
      </c>
      <c r="M44" s="12" t="n">
        <v>0.44</v>
      </c>
      <c r="N44" s="12" t="n">
        <v>72</v>
      </c>
      <c r="O44" s="12" t="n">
        <v>2132</v>
      </c>
      <c r="P44" s="12" t="n">
        <v>194</v>
      </c>
      <c r="Q44" s="12" t="s">
        <v>876</v>
      </c>
    </row>
    <row r="45" customFormat="false" ht="15" hidden="false" customHeight="false" outlineLevel="0" collapsed="false">
      <c r="A45" s="10" t="s">
        <v>849</v>
      </c>
    </row>
    <row r="46" customFormat="false" ht="26.85" hidden="false" customHeight="false" outlineLevel="0" collapsed="false">
      <c r="A46" s="17" t="s">
        <v>850</v>
      </c>
      <c r="B46" s="17" t="s">
        <v>476</v>
      </c>
      <c r="C46" s="6"/>
      <c r="D46" s="17" t="s">
        <v>826</v>
      </c>
      <c r="E46" s="17" t="s">
        <v>827</v>
      </c>
      <c r="F46" s="6" t="s">
        <v>828</v>
      </c>
      <c r="G46" s="17" t="s">
        <v>829</v>
      </c>
      <c r="H46" s="17" t="s">
        <v>830</v>
      </c>
      <c r="I46" s="6" t="s">
        <v>831</v>
      </c>
      <c r="J46" s="17" t="s">
        <v>832</v>
      </c>
      <c r="K46" s="6" t="s">
        <v>833</v>
      </c>
      <c r="L46" s="17" t="s">
        <v>92</v>
      </c>
      <c r="M46" s="17" t="s">
        <v>834</v>
      </c>
      <c r="N46" s="17" t="s">
        <v>851</v>
      </c>
      <c r="O46" s="17" t="s">
        <v>852</v>
      </c>
      <c r="P46" s="6"/>
      <c r="Q46" s="17" t="s">
        <v>63</v>
      </c>
    </row>
    <row r="47" customFormat="false" ht="15" hidden="false" customHeight="false" outlineLevel="0" collapsed="false">
      <c r="A47" s="12" t="s">
        <v>853</v>
      </c>
      <c r="B47" s="12" t="s">
        <v>497</v>
      </c>
      <c r="C47" s="12"/>
      <c r="D47" s="12" t="n">
        <v>16</v>
      </c>
      <c r="E47" s="14" t="n">
        <v>3.23744067994169</v>
      </c>
      <c r="F47" s="14" t="n">
        <v>33.4965629709602</v>
      </c>
      <c r="G47" s="13" t="n">
        <v>0.893990122714177</v>
      </c>
      <c r="H47" s="13" t="n">
        <v>0.863226338180572</v>
      </c>
      <c r="I47" s="13" t="n">
        <v>0.969736015629012</v>
      </c>
      <c r="J47" s="14" t="n">
        <v>10.3466182958953</v>
      </c>
      <c r="K47" s="14" t="n">
        <v>10.2827346557227</v>
      </c>
      <c r="L47" s="14" t="n">
        <v>8.80418058145227</v>
      </c>
      <c r="M47" s="12" t="n">
        <v>0.4375</v>
      </c>
      <c r="N47" s="12" t="n">
        <v>0.421965817045589</v>
      </c>
      <c r="O47" s="12" t="n">
        <v>6.48835973332609</v>
      </c>
      <c r="P47" s="12"/>
      <c r="Q47" s="12"/>
    </row>
    <row r="48" customFormat="false" ht="15" hidden="false" customHeight="false" outlineLevel="0" collapsed="false">
      <c r="A48" s="12" t="s">
        <v>855</v>
      </c>
      <c r="B48" s="12" t="s">
        <v>497</v>
      </c>
      <c r="C48" s="12"/>
      <c r="D48" s="12" t="n">
        <v>32</v>
      </c>
      <c r="E48" s="14" t="n">
        <v>4.54764591025173</v>
      </c>
      <c r="F48" s="14" t="n">
        <v>30.9879079026254</v>
      </c>
      <c r="G48" s="13" t="n">
        <v>0.93305536826574</v>
      </c>
      <c r="H48" s="13" t="n">
        <v>0.957647441802263</v>
      </c>
      <c r="I48" s="13" t="n">
        <v>0.987065126759866</v>
      </c>
      <c r="J48" s="14" t="n">
        <v>6.81405468107567</v>
      </c>
      <c r="K48" s="14" t="n">
        <v>8.30497271076165</v>
      </c>
      <c r="L48" s="14" t="n">
        <v>8.03109849182914</v>
      </c>
      <c r="M48" s="12" t="n">
        <v>0.46875</v>
      </c>
      <c r="N48" s="12" t="n">
        <v>2.26713423875879</v>
      </c>
      <c r="O48" s="12" t="n">
        <v>1.47785273460352</v>
      </c>
      <c r="P48" s="12"/>
      <c r="Q48" s="12"/>
    </row>
    <row r="49" customFormat="false" ht="15" hidden="false" customHeight="false" outlineLevel="0" collapsed="false">
      <c r="A49" s="12" t="s">
        <v>856</v>
      </c>
      <c r="B49" s="12" t="s">
        <v>497</v>
      </c>
      <c r="C49" s="12"/>
      <c r="D49" s="12" t="n">
        <v>32</v>
      </c>
      <c r="E49" s="14" t="n">
        <v>1.45686697266424</v>
      </c>
      <c r="F49" s="14" t="n">
        <v>25.6448565877816</v>
      </c>
      <c r="G49" s="13" t="n">
        <v>0.726640481122112</v>
      </c>
      <c r="H49" s="13" t="n">
        <v>0.628507463772739</v>
      </c>
      <c r="I49" s="13" t="n">
        <v>0.921731705137915</v>
      </c>
      <c r="J49" s="14" t="n">
        <v>17.6027441550711</v>
      </c>
      <c r="K49" s="14" t="n">
        <v>9.49417472742044</v>
      </c>
      <c r="L49" s="14" t="n">
        <v>7.84565899484969</v>
      </c>
      <c r="M49" s="12" t="n">
        <v>0.53125</v>
      </c>
      <c r="N49" s="12" t="n">
        <v>15.2033728774777</v>
      </c>
      <c r="O49" s="12" t="n">
        <v>15.0030267484568</v>
      </c>
      <c r="P49" s="12"/>
      <c r="Q49" s="12"/>
    </row>
    <row r="50" customFormat="false" ht="15" hidden="false" customHeight="false" outlineLevel="0" collapsed="false">
      <c r="A50" s="12" t="s">
        <v>857</v>
      </c>
      <c r="B50" s="12" t="s">
        <v>497</v>
      </c>
      <c r="C50" s="12"/>
      <c r="D50" s="12" t="n">
        <v>32</v>
      </c>
      <c r="E50" s="14" t="n">
        <v>5.16387674403774</v>
      </c>
      <c r="F50" s="14" t="n">
        <v>26.6244029779788</v>
      </c>
      <c r="G50" s="13" t="n">
        <v>0.967206900302963</v>
      </c>
      <c r="H50" s="13" t="n">
        <v>0.961107305170984</v>
      </c>
      <c r="I50" s="13" t="n">
        <v>0.992786704037289</v>
      </c>
      <c r="J50" s="14" t="n">
        <v>5.15589435954675</v>
      </c>
      <c r="K50" s="14" t="n">
        <v>8.6020737143075</v>
      </c>
      <c r="L50" s="14" t="n">
        <v>7.81283614526047</v>
      </c>
      <c r="M50" s="12" t="n">
        <v>0.5625</v>
      </c>
      <c r="N50" s="12" t="n">
        <v>3.74815299117324</v>
      </c>
      <c r="O50" s="12" t="n">
        <v>1.48599760270326</v>
      </c>
      <c r="P50" s="12"/>
      <c r="Q50" s="12"/>
    </row>
    <row r="51" customFormat="false" ht="15" hidden="false" customHeight="false" outlineLevel="0" collapsed="false">
      <c r="A51" s="16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20.1" hidden="false" customHeight="false" outlineLevel="0" collapsed="false">
      <c r="A1" s="1" t="s">
        <v>878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428</v>
      </c>
    </row>
    <row r="4" customFormat="false" ht="15" hidden="false" customHeight="false" outlineLevel="0" collapsed="false">
      <c r="A4" s="7" t="s">
        <v>879</v>
      </c>
      <c r="B4" s="31" t="n">
        <v>-1.25</v>
      </c>
      <c r="C4" s="12"/>
    </row>
    <row r="5" customFormat="false" ht="15" hidden="false" customHeight="false" outlineLevel="0" collapsed="false">
      <c r="A5" s="7" t="s">
        <v>880</v>
      </c>
      <c r="B5" s="31" t="n">
        <v>-0.93</v>
      </c>
      <c r="C5" s="12"/>
    </row>
    <row r="6" customFormat="false" ht="15" hidden="false" customHeight="false" outlineLevel="0" collapsed="false">
      <c r="A6" s="7" t="s">
        <v>881</v>
      </c>
      <c r="B6" s="31" t="n">
        <v>-1.42680552990427</v>
      </c>
      <c r="C6" s="12"/>
    </row>
    <row r="7" customFormat="false" ht="15" hidden="false" customHeight="false" outlineLevel="0" collapsed="false">
      <c r="A7" s="7" t="s">
        <v>882</v>
      </c>
      <c r="B7" s="31" t="n">
        <v>0.0163790298244546</v>
      </c>
      <c r="C7" s="12"/>
    </row>
    <row r="8" customFormat="false" ht="15" hidden="false" customHeight="false" outlineLevel="0" collapsed="false">
      <c r="A8" s="7" t="s">
        <v>883</v>
      </c>
      <c r="B8" s="31" t="n">
        <v>0.00894481661956465</v>
      </c>
      <c r="C8" s="12"/>
    </row>
    <row r="9" customFormat="false" ht="15" hidden="false" customHeight="false" outlineLevel="0" collapsed="false">
      <c r="A9" s="7" t="s">
        <v>884</v>
      </c>
      <c r="B9" s="12" t="s">
        <v>885</v>
      </c>
      <c r="C9" s="12"/>
    </row>
    <row r="10" customFormat="false" ht="15" hidden="false" customHeight="false" outlineLevel="0" collapsed="false">
      <c r="A10" s="7" t="s">
        <v>886</v>
      </c>
      <c r="B10" s="12" t="s">
        <v>887</v>
      </c>
      <c r="C10" s="12"/>
    </row>
    <row r="11" customFormat="false" ht="15" hidden="false" customHeight="false" outlineLevel="0" collapsed="false">
      <c r="A11" s="2" t="s">
        <v>888</v>
      </c>
      <c r="B11" s="12" t="s">
        <v>889</v>
      </c>
      <c r="C11" s="12"/>
    </row>
    <row r="13" customFormat="false" ht="15" hidden="false" customHeight="false" outlineLevel="0" collapsed="false">
      <c r="A13" s="17" t="s">
        <v>477</v>
      </c>
      <c r="B13" s="17" t="s">
        <v>890</v>
      </c>
      <c r="C13" s="6" t="s">
        <v>428</v>
      </c>
    </row>
    <row r="14" customFormat="false" ht="15" hidden="false" customHeight="false" outlineLevel="0" collapsed="false">
      <c r="A14" s="12" t="s">
        <v>491</v>
      </c>
      <c r="B14" s="31" t="n">
        <v>-0.0684832659393283</v>
      </c>
      <c r="C14" s="12" t="s">
        <v>891</v>
      </c>
    </row>
    <row r="15" customFormat="false" ht="15" hidden="false" customHeight="false" outlineLevel="0" collapsed="false">
      <c r="A15" s="12" t="s">
        <v>492</v>
      </c>
      <c r="B15" s="31" t="n">
        <v>-0.0603851602874113</v>
      </c>
      <c r="C15" s="12" t="s">
        <v>891</v>
      </c>
    </row>
    <row r="16" customFormat="false" ht="15" hidden="false" customHeight="false" outlineLevel="0" collapsed="false">
      <c r="A16" s="12" t="s">
        <v>494</v>
      </c>
      <c r="B16" s="31" t="n">
        <v>0.0683150699976714</v>
      </c>
      <c r="C16" s="12" t="s">
        <v>891</v>
      </c>
    </row>
    <row r="17" customFormat="false" ht="15" hidden="false" customHeight="false" outlineLevel="0" collapsed="false">
      <c r="A17" s="12" t="s">
        <v>495</v>
      </c>
      <c r="B17" s="31" t="n">
        <v>0.0550778379111574</v>
      </c>
      <c r="C17" s="12" t="s">
        <v>891</v>
      </c>
    </row>
    <row r="19" customFormat="false" ht="15" hidden="false" customHeight="false" outlineLevel="0" collapsed="false">
      <c r="A19" s="10" t="s">
        <v>892</v>
      </c>
    </row>
    <row r="20" customFormat="false" ht="23.85" hidden="false" customHeight="false" outlineLevel="0" collapsed="false">
      <c r="A20" s="17" t="s">
        <v>893</v>
      </c>
      <c r="B20" s="17" t="s">
        <v>894</v>
      </c>
      <c r="C20" s="17" t="s">
        <v>65</v>
      </c>
      <c r="D20" s="17" t="s">
        <v>476</v>
      </c>
      <c r="E20" s="17" t="s">
        <v>477</v>
      </c>
      <c r="F20" s="17" t="s">
        <v>895</v>
      </c>
      <c r="G20" s="17" t="s">
        <v>481</v>
      </c>
      <c r="H20" s="17" t="s">
        <v>896</v>
      </c>
      <c r="I20" s="17" t="s">
        <v>474</v>
      </c>
      <c r="J20" s="17" t="s">
        <v>835</v>
      </c>
      <c r="K20" s="17" t="s">
        <v>485</v>
      </c>
      <c r="L20" s="17" t="s">
        <v>112</v>
      </c>
    </row>
    <row r="21" customFormat="false" ht="15" hidden="false" customHeight="false" outlineLevel="0" collapsed="false">
      <c r="A21" s="18" t="n">
        <v>3</v>
      </c>
      <c r="B21" s="18" t="s">
        <v>897</v>
      </c>
      <c r="C21" s="18" t="s">
        <v>898</v>
      </c>
      <c r="D21" s="18" t="s">
        <v>899</v>
      </c>
      <c r="E21" s="18" t="s">
        <v>491</v>
      </c>
      <c r="F21" s="20" t="n">
        <v>-0.0437</v>
      </c>
      <c r="G21" s="20" t="n">
        <v>0.0083</v>
      </c>
      <c r="H21" s="28" t="n">
        <v>287.2</v>
      </c>
      <c r="I21" s="28" t="n">
        <v>55.3</v>
      </c>
      <c r="J21" s="30" t="n">
        <v>2109</v>
      </c>
      <c r="K21" s="28" t="n">
        <v>5.8</v>
      </c>
      <c r="L21" s="18" t="s">
        <v>900</v>
      </c>
    </row>
    <row r="22" customFormat="false" ht="15" hidden="false" customHeight="false" outlineLevel="0" collapsed="false">
      <c r="A22" s="18" t="n">
        <v>3</v>
      </c>
      <c r="B22" s="18" t="s">
        <v>897</v>
      </c>
      <c r="C22" s="18" t="s">
        <v>898</v>
      </c>
      <c r="D22" s="18" t="s">
        <v>899</v>
      </c>
      <c r="E22" s="18" t="s">
        <v>492</v>
      </c>
      <c r="F22" s="20" t="n">
        <v>-0.0385</v>
      </c>
      <c r="G22" s="20" t="n">
        <v>0.0066</v>
      </c>
      <c r="H22" s="28" t="n">
        <v>315.5</v>
      </c>
      <c r="I22" s="28" t="n">
        <v>61.1</v>
      </c>
      <c r="J22" s="30" t="n">
        <v>1988.7</v>
      </c>
      <c r="K22" s="28" t="n">
        <v>5.07</v>
      </c>
      <c r="L22" s="18" t="s">
        <v>900</v>
      </c>
    </row>
    <row r="23" customFormat="false" ht="15" hidden="false" customHeight="false" outlineLevel="0" collapsed="false">
      <c r="A23" s="18" t="n">
        <v>4</v>
      </c>
      <c r="B23" s="18" t="s">
        <v>897</v>
      </c>
      <c r="C23" s="18" t="s">
        <v>898</v>
      </c>
      <c r="D23" s="18" t="s">
        <v>899</v>
      </c>
      <c r="E23" s="18" t="s">
        <v>494</v>
      </c>
      <c r="F23" s="20" t="n">
        <v>-0.019</v>
      </c>
      <c r="G23" s="20" t="n">
        <v>0.0065</v>
      </c>
      <c r="H23" s="28" t="n">
        <v>311.5</v>
      </c>
      <c r="I23" s="28" t="n">
        <v>44.4</v>
      </c>
      <c r="J23" s="30" t="n">
        <v>2098</v>
      </c>
      <c r="K23" s="28" t="n">
        <v>5.58</v>
      </c>
      <c r="L23" s="18" t="s">
        <v>901</v>
      </c>
    </row>
    <row r="24" customFormat="false" ht="15" hidden="false" customHeight="false" outlineLevel="0" collapsed="false">
      <c r="A24" s="18" t="n">
        <v>4</v>
      </c>
      <c r="B24" s="18" t="s">
        <v>897</v>
      </c>
      <c r="C24" s="18" t="s">
        <v>898</v>
      </c>
      <c r="D24" s="18" t="s">
        <v>899</v>
      </c>
      <c r="E24" s="18" t="s">
        <v>495</v>
      </c>
      <c r="F24" s="20" t="n">
        <v>-0.015</v>
      </c>
      <c r="G24" s="20" t="n">
        <v>0.0089</v>
      </c>
      <c r="H24" s="28" t="n">
        <v>302.2</v>
      </c>
      <c r="I24" s="28" t="n">
        <v>44.4</v>
      </c>
      <c r="J24" s="30" t="n">
        <v>1995</v>
      </c>
      <c r="K24" s="28" t="n">
        <v>6.31</v>
      </c>
      <c r="L24" s="18" t="s">
        <v>901</v>
      </c>
    </row>
    <row r="25" customFormat="false" ht="15" hidden="false" customHeight="false" outlineLevel="0" collapsed="false">
      <c r="A25" s="18" t="n">
        <v>5</v>
      </c>
      <c r="B25" s="18" t="s">
        <v>897</v>
      </c>
      <c r="C25" s="18" t="s">
        <v>902</v>
      </c>
      <c r="D25" s="18" t="s">
        <v>903</v>
      </c>
      <c r="E25" s="18" t="s">
        <v>491</v>
      </c>
      <c r="F25" s="20" t="n">
        <v>-0.0449</v>
      </c>
      <c r="G25" s="20" t="n">
        <v>0.0088</v>
      </c>
      <c r="H25" s="28" t="n">
        <v>305</v>
      </c>
      <c r="I25" s="28" t="n">
        <v>71.3</v>
      </c>
      <c r="J25" s="30" t="n">
        <v>2018.3</v>
      </c>
      <c r="K25" s="28" t="n">
        <v>5.3</v>
      </c>
      <c r="L25" s="18" t="s">
        <v>904</v>
      </c>
    </row>
    <row r="26" customFormat="false" ht="15" hidden="false" customHeight="false" outlineLevel="0" collapsed="false">
      <c r="A26" s="18" t="n">
        <v>5</v>
      </c>
      <c r="B26" s="18" t="s">
        <v>897</v>
      </c>
      <c r="C26" s="18" t="s">
        <v>902</v>
      </c>
      <c r="D26" s="18" t="s">
        <v>903</v>
      </c>
      <c r="E26" s="18" t="s">
        <v>492</v>
      </c>
      <c r="F26" s="20" t="n">
        <v>-0.0659</v>
      </c>
      <c r="G26" s="20" t="n">
        <v>0.0066</v>
      </c>
      <c r="H26" s="28" t="n">
        <v>354.8</v>
      </c>
      <c r="I26" s="28" t="n">
        <v>67</v>
      </c>
      <c r="J26" s="30" t="n">
        <v>1907</v>
      </c>
      <c r="K26" s="28" t="n">
        <v>5.91</v>
      </c>
      <c r="L26" s="18" t="s">
        <v>904</v>
      </c>
    </row>
    <row r="27" customFormat="false" ht="15" hidden="false" customHeight="false" outlineLevel="0" collapsed="false">
      <c r="A27" s="18" t="n">
        <v>6</v>
      </c>
      <c r="B27" s="18" t="s">
        <v>897</v>
      </c>
      <c r="C27" s="18" t="s">
        <v>902</v>
      </c>
      <c r="D27" s="18" t="s">
        <v>903</v>
      </c>
      <c r="E27" s="18" t="s">
        <v>494</v>
      </c>
      <c r="F27" s="20" t="n">
        <v>0.0249</v>
      </c>
      <c r="G27" s="20" t="n">
        <v>0.0093</v>
      </c>
      <c r="H27" s="28" t="n">
        <v>316</v>
      </c>
      <c r="I27" s="28" t="n">
        <v>80.5</v>
      </c>
      <c r="J27" s="30" t="n">
        <v>1988.7</v>
      </c>
      <c r="K27" s="28" t="n">
        <v>4.92</v>
      </c>
      <c r="L27" s="18" t="s">
        <v>905</v>
      </c>
    </row>
    <row r="28" customFormat="false" ht="15" hidden="false" customHeight="false" outlineLevel="0" collapsed="false">
      <c r="A28" s="18" t="n">
        <v>6</v>
      </c>
      <c r="B28" s="18" t="s">
        <v>897</v>
      </c>
      <c r="C28" s="18" t="s">
        <v>902</v>
      </c>
      <c r="D28" s="18" t="s">
        <v>903</v>
      </c>
      <c r="E28" s="18" t="s">
        <v>495</v>
      </c>
      <c r="F28" s="20" t="n">
        <v>-0.0014</v>
      </c>
      <c r="G28" s="20" t="n">
        <v>0.0066</v>
      </c>
      <c r="H28" s="28" t="n">
        <v>313.8</v>
      </c>
      <c r="I28" s="28" t="n">
        <v>74.5</v>
      </c>
      <c r="J28" s="30" t="n">
        <v>1890.7</v>
      </c>
      <c r="K28" s="28" t="n">
        <v>6.72</v>
      </c>
      <c r="L28" s="18" t="s">
        <v>905</v>
      </c>
    </row>
    <row r="29" customFormat="false" ht="15" hidden="false" customHeight="false" outlineLevel="0" collapsed="false">
      <c r="A29" s="18" t="n">
        <v>7</v>
      </c>
      <c r="B29" s="18" t="s">
        <v>897</v>
      </c>
      <c r="C29" s="18" t="s">
        <v>906</v>
      </c>
      <c r="D29" s="18" t="s">
        <v>907</v>
      </c>
      <c r="E29" s="18" t="s">
        <v>491</v>
      </c>
      <c r="F29" s="20" t="n">
        <v>-0.0602</v>
      </c>
      <c r="G29" s="20" t="n">
        <v>0.0084</v>
      </c>
      <c r="H29" s="28" t="n">
        <v>332</v>
      </c>
      <c r="I29" s="28" t="n">
        <v>46.4</v>
      </c>
      <c r="J29" s="30" t="n">
        <v>1932</v>
      </c>
      <c r="K29" s="28" t="n">
        <v>6.08</v>
      </c>
      <c r="L29" s="18" t="s">
        <v>908</v>
      </c>
    </row>
    <row r="30" customFormat="false" ht="15" hidden="false" customHeight="false" outlineLevel="0" collapsed="false">
      <c r="A30" s="18" t="n">
        <v>7</v>
      </c>
      <c r="B30" s="18" t="s">
        <v>897</v>
      </c>
      <c r="C30" s="18" t="s">
        <v>906</v>
      </c>
      <c r="D30" s="18" t="s">
        <v>907</v>
      </c>
      <c r="E30" s="18" t="s">
        <v>492</v>
      </c>
      <c r="F30" s="20" t="n">
        <v>-0.0524</v>
      </c>
      <c r="G30" s="20" t="n">
        <v>0.0071</v>
      </c>
      <c r="H30" s="28" t="n">
        <v>337.3</v>
      </c>
      <c r="I30" s="28" t="n">
        <v>57</v>
      </c>
      <c r="J30" s="30" t="n">
        <v>1806.7</v>
      </c>
      <c r="K30" s="28" t="n">
        <v>4.97</v>
      </c>
      <c r="L30" s="18" t="s">
        <v>908</v>
      </c>
    </row>
    <row r="31" customFormat="false" ht="15" hidden="false" customHeight="false" outlineLevel="0" collapsed="false">
      <c r="A31" s="18" t="n">
        <v>8</v>
      </c>
      <c r="B31" s="18" t="s">
        <v>897</v>
      </c>
      <c r="C31" s="18" t="s">
        <v>906</v>
      </c>
      <c r="D31" s="18" t="s">
        <v>907</v>
      </c>
      <c r="E31" s="18" t="s">
        <v>494</v>
      </c>
      <c r="F31" s="20" t="n">
        <v>0.0846</v>
      </c>
      <c r="G31" s="20" t="n">
        <v>0.0058</v>
      </c>
      <c r="H31" s="28" t="n">
        <v>347.6</v>
      </c>
      <c r="I31" s="28" t="n">
        <v>109.4</v>
      </c>
      <c r="J31" s="30" t="n">
        <v>1856.7</v>
      </c>
      <c r="K31" s="28" t="n">
        <v>6.66</v>
      </c>
      <c r="L31" s="18" t="s">
        <v>909</v>
      </c>
    </row>
    <row r="32" customFormat="false" ht="15" hidden="false" customHeight="false" outlineLevel="0" collapsed="false">
      <c r="A32" s="18" t="n">
        <v>8</v>
      </c>
      <c r="B32" s="18" t="s">
        <v>897</v>
      </c>
      <c r="C32" s="18" t="s">
        <v>906</v>
      </c>
      <c r="D32" s="18" t="s">
        <v>907</v>
      </c>
      <c r="E32" s="18" t="s">
        <v>495</v>
      </c>
      <c r="F32" s="20" t="n">
        <v>0.0691</v>
      </c>
      <c r="G32" s="20" t="n">
        <v>0.007</v>
      </c>
      <c r="H32" s="28" t="n">
        <v>350.4</v>
      </c>
      <c r="I32" s="28" t="n">
        <v>108.5</v>
      </c>
      <c r="J32" s="30" t="n">
        <v>1749.7</v>
      </c>
      <c r="K32" s="28" t="n">
        <v>6.35</v>
      </c>
      <c r="L32" s="18" t="s">
        <v>909</v>
      </c>
    </row>
    <row r="33" customFormat="false" ht="15" hidden="false" customHeight="false" outlineLevel="0" collapsed="false">
      <c r="A33" s="18" t="n">
        <v>9</v>
      </c>
      <c r="B33" s="18" t="s">
        <v>897</v>
      </c>
      <c r="C33" s="18" t="s">
        <v>910</v>
      </c>
      <c r="D33" s="18" t="s">
        <v>911</v>
      </c>
      <c r="E33" s="18" t="s">
        <v>491</v>
      </c>
      <c r="F33" s="20" t="n">
        <v>-0.0896</v>
      </c>
      <c r="G33" s="20" t="n">
        <v>0.0128</v>
      </c>
      <c r="H33" s="28" t="n">
        <v>393.8</v>
      </c>
      <c r="I33" s="28" t="n">
        <v>54.3</v>
      </c>
      <c r="J33" s="30" t="n">
        <v>1784.7</v>
      </c>
      <c r="K33" s="28" t="n">
        <v>7.77</v>
      </c>
      <c r="L33" s="18" t="s">
        <v>912</v>
      </c>
    </row>
    <row r="34" customFormat="false" ht="15" hidden="false" customHeight="false" outlineLevel="0" collapsed="false">
      <c r="A34" s="18" t="n">
        <v>9</v>
      </c>
      <c r="B34" s="18" t="s">
        <v>897</v>
      </c>
      <c r="C34" s="18" t="s">
        <v>910</v>
      </c>
      <c r="D34" s="18" t="s">
        <v>911</v>
      </c>
      <c r="E34" s="18" t="s">
        <v>492</v>
      </c>
      <c r="F34" s="20" t="n">
        <v>-0.0763</v>
      </c>
      <c r="G34" s="20" t="n">
        <v>0.0115</v>
      </c>
      <c r="H34" s="28" t="n">
        <v>306.3</v>
      </c>
      <c r="I34" s="28" t="n">
        <v>56.7</v>
      </c>
      <c r="J34" s="30" t="n">
        <v>1665.3</v>
      </c>
      <c r="K34" s="28" t="n">
        <v>6.71</v>
      </c>
      <c r="L34" s="18" t="s">
        <v>912</v>
      </c>
    </row>
    <row r="35" customFormat="false" ht="15" hidden="false" customHeight="false" outlineLevel="0" collapsed="false">
      <c r="A35" s="18" t="n">
        <v>10</v>
      </c>
      <c r="B35" s="18" t="s">
        <v>897</v>
      </c>
      <c r="C35" s="18" t="s">
        <v>910</v>
      </c>
      <c r="D35" s="18" t="s">
        <v>911</v>
      </c>
      <c r="E35" s="18" t="s">
        <v>494</v>
      </c>
      <c r="F35" s="20" t="n">
        <v>0.1247</v>
      </c>
      <c r="G35" s="20" t="n">
        <v>0.0185</v>
      </c>
      <c r="H35" s="28" t="n">
        <v>337.5</v>
      </c>
      <c r="I35" s="28" t="n">
        <v>73.3</v>
      </c>
      <c r="J35" s="30" t="n">
        <v>1759.3</v>
      </c>
      <c r="K35" s="28" t="n">
        <v>7.54</v>
      </c>
      <c r="L35" s="18" t="s">
        <v>913</v>
      </c>
    </row>
    <row r="36" customFormat="false" ht="15" hidden="false" customHeight="false" outlineLevel="0" collapsed="false">
      <c r="A36" s="18" t="n">
        <v>10</v>
      </c>
      <c r="B36" s="18" t="s">
        <v>897</v>
      </c>
      <c r="C36" s="18" t="s">
        <v>910</v>
      </c>
      <c r="D36" s="18" t="s">
        <v>911</v>
      </c>
      <c r="E36" s="18" t="s">
        <v>495</v>
      </c>
      <c r="F36" s="20" t="n">
        <v>0.1284</v>
      </c>
      <c r="G36" s="20" t="n">
        <v>0.0117</v>
      </c>
      <c r="H36" s="28" t="n">
        <v>342.8</v>
      </c>
      <c r="I36" s="28" t="n">
        <v>75.1</v>
      </c>
      <c r="J36" s="30" t="n">
        <v>1646.3</v>
      </c>
      <c r="K36" s="28" t="n">
        <v>7.44</v>
      </c>
      <c r="L36" s="18" t="s">
        <v>913</v>
      </c>
    </row>
    <row r="37" customFormat="false" ht="15" hidden="false" customHeight="false" outlineLevel="0" collapsed="false">
      <c r="A37" s="18" t="n">
        <v>11</v>
      </c>
      <c r="B37" s="18" t="s">
        <v>897</v>
      </c>
      <c r="C37" s="18" t="s">
        <v>914</v>
      </c>
      <c r="D37" s="18" t="s">
        <v>915</v>
      </c>
      <c r="E37" s="18" t="s">
        <v>491</v>
      </c>
      <c r="F37" s="20" t="n">
        <v>-0.1096</v>
      </c>
      <c r="G37" s="20" t="n">
        <v>0.0117</v>
      </c>
      <c r="H37" s="28" t="n">
        <v>336</v>
      </c>
      <c r="I37" s="28" t="n">
        <v>60.9</v>
      </c>
      <c r="J37" s="30" t="n">
        <v>1604.7</v>
      </c>
      <c r="K37" s="28" t="n">
        <v>7.03</v>
      </c>
      <c r="L37" s="18" t="s">
        <v>916</v>
      </c>
    </row>
    <row r="38" customFormat="false" ht="15" hidden="false" customHeight="false" outlineLevel="0" collapsed="false">
      <c r="A38" s="18" t="n">
        <v>11</v>
      </c>
      <c r="B38" s="18" t="s">
        <v>897</v>
      </c>
      <c r="C38" s="18" t="s">
        <v>914</v>
      </c>
      <c r="D38" s="18" t="s">
        <v>915</v>
      </c>
      <c r="E38" s="18" t="s">
        <v>492</v>
      </c>
      <c r="F38" s="20" t="n">
        <v>-0.1011</v>
      </c>
      <c r="G38" s="20" t="n">
        <v>0.0139</v>
      </c>
      <c r="H38" s="28" t="n">
        <v>270.6</v>
      </c>
      <c r="I38" s="28" t="n">
        <v>67.5</v>
      </c>
      <c r="J38" s="30" t="n">
        <v>1482</v>
      </c>
      <c r="K38" s="28" t="n">
        <v>8.38</v>
      </c>
      <c r="L38" s="18" t="s">
        <v>916</v>
      </c>
    </row>
    <row r="39" customFormat="false" ht="15" hidden="false" customHeight="false" outlineLevel="0" collapsed="false">
      <c r="A39" s="18" t="n">
        <v>12</v>
      </c>
      <c r="B39" s="18" t="s">
        <v>897</v>
      </c>
      <c r="C39" s="18" t="s">
        <v>914</v>
      </c>
      <c r="D39" s="18" t="s">
        <v>915</v>
      </c>
      <c r="E39" s="18" t="s">
        <v>494</v>
      </c>
      <c r="F39" s="20" t="n">
        <v>0.1715</v>
      </c>
      <c r="G39" s="20" t="n">
        <v>0.0139</v>
      </c>
      <c r="H39" s="28" t="n">
        <v>267.7</v>
      </c>
      <c r="I39" s="28" t="n">
        <v>46</v>
      </c>
      <c r="J39" s="30" t="n">
        <v>1622.3</v>
      </c>
      <c r="K39" s="28" t="n">
        <v>7.92</v>
      </c>
      <c r="L39" s="18" t="s">
        <v>917</v>
      </c>
    </row>
    <row r="40" customFormat="false" ht="15" hidden="false" customHeight="false" outlineLevel="0" collapsed="false">
      <c r="A40" s="18" t="n">
        <v>12</v>
      </c>
      <c r="B40" s="18" t="s">
        <v>897</v>
      </c>
      <c r="C40" s="18" t="s">
        <v>914</v>
      </c>
      <c r="D40" s="18" t="s">
        <v>915</v>
      </c>
      <c r="E40" s="18" t="s">
        <v>495</v>
      </c>
      <c r="F40" s="20" t="n">
        <v>0.166</v>
      </c>
      <c r="G40" s="20" t="n">
        <v>0.0134</v>
      </c>
      <c r="H40" s="28" t="n">
        <v>344</v>
      </c>
      <c r="I40" s="28" t="n">
        <v>52.6</v>
      </c>
      <c r="J40" s="30" t="n">
        <v>1504.3</v>
      </c>
      <c r="K40" s="28" t="n">
        <v>9.87</v>
      </c>
      <c r="L40" s="18" t="s">
        <v>917</v>
      </c>
    </row>
    <row r="41" customFormat="false" ht="15" hidden="false" customHeight="false" outlineLevel="0" collapsed="false">
      <c r="A41" s="18" t="n">
        <v>13</v>
      </c>
      <c r="B41" s="18" t="s">
        <v>918</v>
      </c>
      <c r="C41" s="18" t="s">
        <v>919</v>
      </c>
      <c r="D41" s="18" t="s">
        <v>920</v>
      </c>
      <c r="E41" s="18" t="s">
        <v>491</v>
      </c>
      <c r="F41" s="20" t="n">
        <v>-0.0229</v>
      </c>
      <c r="G41" s="20" t="n">
        <v>0.0084</v>
      </c>
      <c r="H41" s="28" t="n">
        <v>204.1</v>
      </c>
      <c r="I41" s="28" t="n">
        <v>31.6</v>
      </c>
      <c r="J41" s="30" t="n">
        <v>2604.3</v>
      </c>
      <c r="K41" s="28" t="n">
        <v>4.38</v>
      </c>
      <c r="L41" s="18" t="s">
        <v>921</v>
      </c>
    </row>
    <row r="42" customFormat="false" ht="15" hidden="false" customHeight="false" outlineLevel="0" collapsed="false">
      <c r="A42" s="18" t="n">
        <v>13</v>
      </c>
      <c r="B42" s="18" t="s">
        <v>918</v>
      </c>
      <c r="C42" s="18" t="s">
        <v>919</v>
      </c>
      <c r="D42" s="18" t="s">
        <v>920</v>
      </c>
      <c r="E42" s="18" t="s">
        <v>492</v>
      </c>
      <c r="F42" s="20" t="n">
        <v>-0.035</v>
      </c>
      <c r="G42" s="20" t="n">
        <v>0.0213</v>
      </c>
      <c r="H42" s="28" t="n">
        <v>178.2</v>
      </c>
      <c r="I42" s="28" t="n">
        <v>29.9</v>
      </c>
      <c r="J42" s="30" t="n">
        <v>2501</v>
      </c>
      <c r="K42" s="28" t="n">
        <v>4.39</v>
      </c>
      <c r="L42" s="18" t="s">
        <v>921</v>
      </c>
    </row>
    <row r="43" customFormat="false" ht="15" hidden="false" customHeight="false" outlineLevel="0" collapsed="false">
      <c r="A43" s="18" t="n">
        <v>14</v>
      </c>
      <c r="B43" s="18" t="s">
        <v>918</v>
      </c>
      <c r="C43" s="18" t="s">
        <v>919</v>
      </c>
      <c r="D43" s="18" t="s">
        <v>920</v>
      </c>
      <c r="E43" s="18" t="s">
        <v>494</v>
      </c>
      <c r="F43" s="20" t="n">
        <v>-0.0241</v>
      </c>
      <c r="G43" s="20" t="n">
        <v>0.0142</v>
      </c>
      <c r="H43" s="28" t="n">
        <v>217.8</v>
      </c>
      <c r="I43" s="28" t="n">
        <v>38.9</v>
      </c>
      <c r="J43" s="30" t="n">
        <v>2587.3</v>
      </c>
      <c r="K43" s="28" t="n">
        <v>4.33</v>
      </c>
      <c r="L43" s="18" t="s">
        <v>922</v>
      </c>
    </row>
    <row r="44" customFormat="false" ht="15" hidden="false" customHeight="false" outlineLevel="0" collapsed="false">
      <c r="A44" s="18" t="n">
        <v>14</v>
      </c>
      <c r="B44" s="18" t="s">
        <v>918</v>
      </c>
      <c r="C44" s="18" t="s">
        <v>919</v>
      </c>
      <c r="D44" s="18" t="s">
        <v>920</v>
      </c>
      <c r="E44" s="18" t="s">
        <v>495</v>
      </c>
      <c r="F44" s="20" t="n">
        <v>-0.0368</v>
      </c>
      <c r="G44" s="20" t="n">
        <v>0.0098</v>
      </c>
      <c r="H44" s="28" t="n">
        <v>164.3</v>
      </c>
      <c r="I44" s="28" t="n">
        <v>22.1</v>
      </c>
      <c r="J44" s="30" t="n">
        <v>2506</v>
      </c>
      <c r="K44" s="28" t="n">
        <v>2.41</v>
      </c>
      <c r="L44" s="18" t="s">
        <v>922</v>
      </c>
    </row>
    <row r="45" customFormat="false" ht="15" hidden="false" customHeight="false" outlineLevel="0" collapsed="false">
      <c r="A45" s="18" t="n">
        <v>15</v>
      </c>
      <c r="B45" s="18" t="s">
        <v>918</v>
      </c>
      <c r="C45" s="18" t="s">
        <v>923</v>
      </c>
      <c r="D45" s="18" t="s">
        <v>924</v>
      </c>
      <c r="E45" s="18" t="s">
        <v>491</v>
      </c>
      <c r="F45" s="20" t="n">
        <v>-0.0394</v>
      </c>
      <c r="G45" s="20" t="n">
        <v>0.0089</v>
      </c>
      <c r="H45" s="28" t="n">
        <v>241.7</v>
      </c>
      <c r="I45" s="28" t="n">
        <v>42.9</v>
      </c>
      <c r="J45" s="30" t="n">
        <v>2373.7</v>
      </c>
      <c r="K45" s="28" t="n">
        <v>5.95</v>
      </c>
      <c r="L45" s="18" t="s">
        <v>925</v>
      </c>
    </row>
    <row r="46" customFormat="false" ht="15" hidden="false" customHeight="false" outlineLevel="0" collapsed="false">
      <c r="A46" s="18" t="n">
        <v>15</v>
      </c>
      <c r="B46" s="18" t="s">
        <v>918</v>
      </c>
      <c r="C46" s="18" t="s">
        <v>923</v>
      </c>
      <c r="D46" s="18" t="s">
        <v>924</v>
      </c>
      <c r="E46" s="18" t="s">
        <v>492</v>
      </c>
      <c r="F46" s="20" t="n">
        <v>-0.0396</v>
      </c>
      <c r="G46" s="20" t="n">
        <v>0.0105</v>
      </c>
      <c r="H46" s="28" t="n">
        <v>267.8</v>
      </c>
      <c r="I46" s="28" t="n">
        <v>42.4</v>
      </c>
      <c r="J46" s="30" t="n">
        <v>2266.7</v>
      </c>
      <c r="K46" s="28" t="n">
        <v>5.1</v>
      </c>
      <c r="L46" s="18" t="s">
        <v>925</v>
      </c>
    </row>
    <row r="47" customFormat="false" ht="15" hidden="false" customHeight="false" outlineLevel="0" collapsed="false">
      <c r="A47" s="18" t="n">
        <v>16</v>
      </c>
      <c r="B47" s="18" t="s">
        <v>918</v>
      </c>
      <c r="C47" s="18" t="s">
        <v>923</v>
      </c>
      <c r="D47" s="18" t="s">
        <v>924</v>
      </c>
      <c r="E47" s="18" t="s">
        <v>494</v>
      </c>
      <c r="F47" s="20" t="n">
        <v>-0.0142</v>
      </c>
      <c r="G47" s="20" t="n">
        <v>0.0166</v>
      </c>
      <c r="H47" s="28" t="n">
        <v>303.2</v>
      </c>
      <c r="I47" s="28" t="n">
        <v>50.9</v>
      </c>
      <c r="J47" s="30" t="n">
        <v>2351</v>
      </c>
      <c r="K47" s="28" t="n">
        <v>5.05</v>
      </c>
      <c r="L47" s="18" t="s">
        <v>926</v>
      </c>
    </row>
    <row r="48" customFormat="false" ht="15" hidden="false" customHeight="false" outlineLevel="0" collapsed="false">
      <c r="A48" s="18" t="n">
        <v>16</v>
      </c>
      <c r="B48" s="18" t="s">
        <v>918</v>
      </c>
      <c r="C48" s="18" t="s">
        <v>923</v>
      </c>
      <c r="D48" s="18" t="s">
        <v>924</v>
      </c>
      <c r="E48" s="18" t="s">
        <v>495</v>
      </c>
      <c r="F48" s="20" t="n">
        <v>0.003</v>
      </c>
      <c r="G48" s="20" t="n">
        <v>0.0095</v>
      </c>
      <c r="H48" s="28" t="n">
        <v>259.9</v>
      </c>
      <c r="I48" s="28" t="n">
        <v>48.5</v>
      </c>
      <c r="J48" s="30" t="n">
        <v>2254.3</v>
      </c>
      <c r="K48" s="28" t="n">
        <v>4.13</v>
      </c>
      <c r="L48" s="18" t="s">
        <v>926</v>
      </c>
    </row>
    <row r="49" customFormat="false" ht="15" hidden="false" customHeight="false" outlineLevel="0" collapsed="false">
      <c r="A49" s="18" t="n">
        <v>17</v>
      </c>
      <c r="B49" s="18" t="s">
        <v>918</v>
      </c>
      <c r="C49" s="18" t="s">
        <v>927</v>
      </c>
      <c r="D49" s="18" t="s">
        <v>903</v>
      </c>
      <c r="E49" s="18" t="s">
        <v>491</v>
      </c>
      <c r="F49" s="20" t="n">
        <v>-0.0655</v>
      </c>
      <c r="G49" s="20" t="n">
        <v>0.0097</v>
      </c>
      <c r="H49" s="28" t="n">
        <v>378.2</v>
      </c>
      <c r="I49" s="28" t="n">
        <v>59.3</v>
      </c>
      <c r="J49" s="30" t="n">
        <v>2039.3</v>
      </c>
      <c r="K49" s="28" t="n">
        <v>7.25</v>
      </c>
      <c r="L49" s="18" t="s">
        <v>928</v>
      </c>
    </row>
    <row r="50" customFormat="false" ht="15" hidden="false" customHeight="false" outlineLevel="0" collapsed="false">
      <c r="A50" s="18" t="n">
        <v>17</v>
      </c>
      <c r="B50" s="18" t="s">
        <v>918</v>
      </c>
      <c r="C50" s="18" t="s">
        <v>927</v>
      </c>
      <c r="D50" s="18" t="s">
        <v>903</v>
      </c>
      <c r="E50" s="18" t="s">
        <v>492</v>
      </c>
      <c r="F50" s="20" t="n">
        <v>-0.0467</v>
      </c>
      <c r="G50" s="20" t="n">
        <v>0.0054</v>
      </c>
      <c r="H50" s="28" t="n">
        <v>334.7</v>
      </c>
      <c r="I50" s="28" t="n">
        <v>61.8</v>
      </c>
      <c r="J50" s="30" t="n">
        <v>1920</v>
      </c>
      <c r="K50" s="28" t="n">
        <v>5.97</v>
      </c>
      <c r="L50" s="18" t="s">
        <v>928</v>
      </c>
    </row>
    <row r="51" customFormat="false" ht="15" hidden="false" customHeight="false" outlineLevel="0" collapsed="false">
      <c r="A51" s="18" t="n">
        <v>18</v>
      </c>
      <c r="B51" s="18" t="s">
        <v>918</v>
      </c>
      <c r="C51" s="18" t="s">
        <v>927</v>
      </c>
      <c r="D51" s="18" t="s">
        <v>903</v>
      </c>
      <c r="E51" s="18" t="s">
        <v>494</v>
      </c>
      <c r="F51" s="20" t="n">
        <v>0.0347</v>
      </c>
      <c r="G51" s="20" t="n">
        <v>0.0063</v>
      </c>
      <c r="H51" s="28" t="n">
        <v>344.6</v>
      </c>
      <c r="I51" s="28" t="n">
        <v>81.9</v>
      </c>
      <c r="J51" s="30" t="n">
        <v>1997</v>
      </c>
      <c r="K51" s="28" t="n">
        <v>5.8</v>
      </c>
      <c r="L51" s="18" t="s">
        <v>929</v>
      </c>
    </row>
    <row r="52" customFormat="false" ht="15" hidden="false" customHeight="false" outlineLevel="0" collapsed="false">
      <c r="A52" s="18" t="n">
        <v>18</v>
      </c>
      <c r="B52" s="18" t="s">
        <v>918</v>
      </c>
      <c r="C52" s="18" t="s">
        <v>927</v>
      </c>
      <c r="D52" s="18" t="s">
        <v>903</v>
      </c>
      <c r="E52" s="18" t="s">
        <v>495</v>
      </c>
      <c r="F52" s="20" t="n">
        <v>0.0237</v>
      </c>
      <c r="G52" s="20" t="n">
        <v>0.0127</v>
      </c>
      <c r="H52" s="28" t="n">
        <v>354.3</v>
      </c>
      <c r="I52" s="28" t="n">
        <v>82.4</v>
      </c>
      <c r="J52" s="30" t="n">
        <v>1893</v>
      </c>
      <c r="K52" s="28" t="n">
        <v>7.48</v>
      </c>
      <c r="L52" s="18" t="s">
        <v>929</v>
      </c>
    </row>
    <row r="53" customFormat="false" ht="15" hidden="false" customHeight="false" outlineLevel="0" collapsed="false">
      <c r="A53" s="18" t="n">
        <v>19</v>
      </c>
      <c r="B53" s="18" t="s">
        <v>918</v>
      </c>
      <c r="C53" s="18" t="s">
        <v>930</v>
      </c>
      <c r="D53" s="18" t="s">
        <v>931</v>
      </c>
      <c r="E53" s="18" t="s">
        <v>491</v>
      </c>
      <c r="F53" s="20" t="n">
        <v>-0.072</v>
      </c>
      <c r="G53" s="20" t="n">
        <v>0.0148</v>
      </c>
      <c r="H53" s="28" t="n">
        <v>325.3</v>
      </c>
      <c r="I53" s="28" t="n">
        <v>65.9</v>
      </c>
      <c r="J53" s="30" t="n">
        <v>1596</v>
      </c>
      <c r="K53" s="28" t="n">
        <v>8.51</v>
      </c>
      <c r="L53" s="18" t="s">
        <v>932</v>
      </c>
    </row>
    <row r="54" customFormat="false" ht="15" hidden="false" customHeight="false" outlineLevel="0" collapsed="false">
      <c r="A54" s="18" t="n">
        <v>19</v>
      </c>
      <c r="B54" s="18" t="s">
        <v>918</v>
      </c>
      <c r="C54" s="18" t="s">
        <v>930</v>
      </c>
      <c r="D54" s="18" t="s">
        <v>931</v>
      </c>
      <c r="E54" s="18" t="s">
        <v>492</v>
      </c>
      <c r="F54" s="20" t="n">
        <v>-0.056</v>
      </c>
      <c r="G54" s="20" t="n">
        <v>0.0088</v>
      </c>
      <c r="H54" s="28" t="n">
        <v>346.8</v>
      </c>
      <c r="I54" s="28" t="n">
        <v>72</v>
      </c>
      <c r="J54" s="30" t="n">
        <v>1468.7</v>
      </c>
      <c r="K54" s="28" t="n">
        <v>7.53</v>
      </c>
      <c r="L54" s="18" t="s">
        <v>932</v>
      </c>
    </row>
    <row r="55" customFormat="false" ht="15" hidden="false" customHeight="false" outlineLevel="0" collapsed="false">
      <c r="A55" s="18" t="n">
        <v>20</v>
      </c>
      <c r="B55" s="18" t="s">
        <v>918</v>
      </c>
      <c r="C55" s="18" t="s">
        <v>930</v>
      </c>
      <c r="D55" s="18" t="s">
        <v>931</v>
      </c>
      <c r="E55" s="18" t="s">
        <v>494</v>
      </c>
      <c r="F55" s="20" t="n">
        <v>0.0508</v>
      </c>
      <c r="G55" s="20" t="n">
        <v>0.0071</v>
      </c>
      <c r="H55" s="28" t="n">
        <v>409.2</v>
      </c>
      <c r="I55" s="28" t="n">
        <v>77.3</v>
      </c>
      <c r="J55" s="30" t="n">
        <v>1564.7</v>
      </c>
      <c r="K55" s="28" t="n">
        <v>7.22</v>
      </c>
      <c r="L55" s="18" t="s">
        <v>933</v>
      </c>
    </row>
    <row r="56" customFormat="false" ht="15" hidden="false" customHeight="false" outlineLevel="0" collapsed="false">
      <c r="A56" s="18" t="n">
        <v>20</v>
      </c>
      <c r="B56" s="18" t="s">
        <v>918</v>
      </c>
      <c r="C56" s="18" t="s">
        <v>930</v>
      </c>
      <c r="D56" s="18" t="s">
        <v>931</v>
      </c>
      <c r="E56" s="18" t="s">
        <v>495</v>
      </c>
      <c r="F56" s="20" t="n">
        <v>0.0511</v>
      </c>
      <c r="G56" s="20" t="n">
        <v>0.009</v>
      </c>
      <c r="H56" s="28" t="n">
        <v>431.5</v>
      </c>
      <c r="I56" s="28" t="n">
        <v>78.6</v>
      </c>
      <c r="J56" s="30" t="n">
        <v>1457.3</v>
      </c>
      <c r="K56" s="28" t="n">
        <v>5.7</v>
      </c>
      <c r="L56" s="18" t="s">
        <v>933</v>
      </c>
    </row>
    <row r="57" customFormat="false" ht="15" hidden="false" customHeight="false" outlineLevel="0" collapsed="false">
      <c r="A57" s="18" t="n">
        <v>21</v>
      </c>
      <c r="B57" s="18" t="s">
        <v>934</v>
      </c>
      <c r="C57" s="18" t="s">
        <v>935</v>
      </c>
      <c r="D57" s="18" t="s">
        <v>931</v>
      </c>
      <c r="E57" s="18" t="s">
        <v>491</v>
      </c>
      <c r="F57" s="20" t="n">
        <v>-0.0582</v>
      </c>
      <c r="G57" s="20" t="n">
        <v>0.0086</v>
      </c>
      <c r="H57" s="28" t="n">
        <v>418.3</v>
      </c>
      <c r="I57" s="28" t="n">
        <v>77.8</v>
      </c>
      <c r="J57" s="30" t="n">
        <v>1591.3</v>
      </c>
      <c r="K57" s="28" t="n">
        <v>7.91</v>
      </c>
      <c r="L57" s="18" t="s">
        <v>936</v>
      </c>
    </row>
    <row r="58" customFormat="false" ht="15" hidden="false" customHeight="false" outlineLevel="0" collapsed="false">
      <c r="A58" s="18" t="n">
        <v>21</v>
      </c>
      <c r="B58" s="18" t="s">
        <v>934</v>
      </c>
      <c r="C58" s="18" t="s">
        <v>935</v>
      </c>
      <c r="D58" s="18" t="s">
        <v>931</v>
      </c>
      <c r="E58" s="18" t="s">
        <v>492</v>
      </c>
      <c r="F58" s="20" t="n">
        <v>-0.0511</v>
      </c>
      <c r="G58" s="20" t="n">
        <v>0.0081</v>
      </c>
      <c r="H58" s="28" t="n">
        <v>378.2</v>
      </c>
      <c r="I58" s="28" t="n">
        <v>72.4</v>
      </c>
      <c r="J58" s="30" t="n">
        <v>1471.7</v>
      </c>
      <c r="K58" s="28" t="n">
        <v>7.41</v>
      </c>
      <c r="L58" s="18" t="s">
        <v>936</v>
      </c>
    </row>
    <row r="59" customFormat="false" ht="15" hidden="false" customHeight="false" outlineLevel="0" collapsed="false">
      <c r="A59" s="18" t="n">
        <v>22</v>
      </c>
      <c r="B59" s="18" t="s">
        <v>934</v>
      </c>
      <c r="C59" s="18" t="s">
        <v>937</v>
      </c>
      <c r="D59" s="18" t="s">
        <v>931</v>
      </c>
      <c r="E59" s="18" t="s">
        <v>491</v>
      </c>
      <c r="F59" s="20" t="n">
        <v>-0.0716</v>
      </c>
      <c r="G59" s="20" t="n">
        <v>0.0071</v>
      </c>
      <c r="H59" s="28" t="n">
        <v>364.3</v>
      </c>
      <c r="I59" s="28" t="n">
        <v>45.8</v>
      </c>
      <c r="J59" s="30" t="n">
        <v>1619</v>
      </c>
      <c r="K59" s="28" t="n">
        <v>7.57</v>
      </c>
      <c r="L59" s="18" t="s">
        <v>938</v>
      </c>
    </row>
    <row r="60" customFormat="false" ht="15" hidden="false" customHeight="false" outlineLevel="0" collapsed="false">
      <c r="A60" s="18" t="n">
        <v>22</v>
      </c>
      <c r="B60" s="18" t="s">
        <v>934</v>
      </c>
      <c r="C60" s="18" t="s">
        <v>937</v>
      </c>
      <c r="D60" s="18" t="s">
        <v>931</v>
      </c>
      <c r="E60" s="18" t="s">
        <v>492</v>
      </c>
      <c r="F60" s="20" t="n">
        <v>-0.0465</v>
      </c>
      <c r="G60" s="20" t="n">
        <v>0.0088</v>
      </c>
      <c r="H60" s="28" t="n">
        <v>404</v>
      </c>
      <c r="I60" s="28" t="n">
        <v>56.2</v>
      </c>
      <c r="J60" s="30" t="n">
        <v>1487</v>
      </c>
      <c r="K60" s="28" t="n">
        <v>8.37</v>
      </c>
      <c r="L60" s="18" t="s">
        <v>938</v>
      </c>
    </row>
    <row r="61" customFormat="false" ht="15" hidden="false" customHeight="false" outlineLevel="0" collapsed="false">
      <c r="A61" s="18" t="n">
        <v>23</v>
      </c>
      <c r="B61" s="18" t="s">
        <v>934</v>
      </c>
      <c r="C61" s="18" t="s">
        <v>939</v>
      </c>
      <c r="D61" s="18" t="s">
        <v>931</v>
      </c>
      <c r="E61" s="18" t="s">
        <v>491</v>
      </c>
      <c r="F61" s="20" t="n">
        <v>-0.0703</v>
      </c>
      <c r="G61" s="20" t="n">
        <v>0.0088</v>
      </c>
      <c r="H61" s="28" t="n">
        <v>391.4</v>
      </c>
      <c r="I61" s="28" t="n">
        <v>58.8</v>
      </c>
      <c r="J61" s="30" t="n">
        <v>1608</v>
      </c>
      <c r="K61" s="28" t="n">
        <v>7.09</v>
      </c>
      <c r="L61" s="18" t="s">
        <v>940</v>
      </c>
    </row>
    <row r="62" customFormat="false" ht="15" hidden="false" customHeight="false" outlineLevel="0" collapsed="false">
      <c r="A62" s="18" t="n">
        <v>23</v>
      </c>
      <c r="B62" s="18" t="s">
        <v>934</v>
      </c>
      <c r="C62" s="18" t="s">
        <v>939</v>
      </c>
      <c r="D62" s="18" t="s">
        <v>931</v>
      </c>
      <c r="E62" s="18" t="s">
        <v>492</v>
      </c>
      <c r="F62" s="20" t="n">
        <v>-0.0734</v>
      </c>
      <c r="G62" s="20" t="n">
        <v>0.0076</v>
      </c>
      <c r="H62" s="28" t="n">
        <v>383.2</v>
      </c>
      <c r="I62" s="28" t="n">
        <v>59.4</v>
      </c>
      <c r="J62" s="30" t="n">
        <v>1484</v>
      </c>
      <c r="K62" s="28" t="n">
        <v>7.4</v>
      </c>
      <c r="L62" s="18" t="s">
        <v>940</v>
      </c>
    </row>
    <row r="63" customFormat="false" ht="15" hidden="false" customHeight="false" outlineLevel="0" collapsed="false">
      <c r="A63" s="18" t="n">
        <v>24</v>
      </c>
      <c r="B63" s="18" t="s">
        <v>934</v>
      </c>
      <c r="C63" s="18" t="s">
        <v>941</v>
      </c>
      <c r="D63" s="18" t="s">
        <v>931</v>
      </c>
      <c r="E63" s="18" t="s">
        <v>491</v>
      </c>
      <c r="F63" s="20" t="n">
        <v>-0.0729</v>
      </c>
      <c r="G63" s="20" t="n">
        <v>0.0086</v>
      </c>
      <c r="H63" s="28" t="n">
        <v>386.3</v>
      </c>
      <c r="I63" s="28" t="n">
        <v>71.1</v>
      </c>
      <c r="J63" s="30" t="n">
        <v>1595.7</v>
      </c>
      <c r="K63" s="28" t="n">
        <v>7.99</v>
      </c>
      <c r="L63" s="18" t="s">
        <v>942</v>
      </c>
    </row>
    <row r="64" customFormat="false" ht="15" hidden="false" customHeight="false" outlineLevel="0" collapsed="false">
      <c r="A64" s="18" t="n">
        <v>24</v>
      </c>
      <c r="B64" s="18" t="s">
        <v>934</v>
      </c>
      <c r="C64" s="18" t="s">
        <v>941</v>
      </c>
      <c r="D64" s="18" t="s">
        <v>931</v>
      </c>
      <c r="E64" s="18" t="s">
        <v>492</v>
      </c>
      <c r="F64" s="20" t="n">
        <v>-0.0655</v>
      </c>
      <c r="G64" s="20" t="n">
        <v>0.0068</v>
      </c>
      <c r="H64" s="28" t="n">
        <v>389.7</v>
      </c>
      <c r="I64" s="28" t="n">
        <v>61</v>
      </c>
      <c r="J64" s="30" t="n">
        <v>1482</v>
      </c>
      <c r="K64" s="28" t="n">
        <v>8.21</v>
      </c>
      <c r="L64" s="18" t="s">
        <v>942</v>
      </c>
    </row>
    <row r="65" customFormat="false" ht="15" hidden="false" customHeight="false" outlineLevel="0" collapsed="false">
      <c r="A65" s="18" t="n">
        <v>25</v>
      </c>
      <c r="B65" s="18" t="s">
        <v>934</v>
      </c>
      <c r="C65" s="18" t="s">
        <v>943</v>
      </c>
      <c r="D65" s="18" t="s">
        <v>931</v>
      </c>
      <c r="E65" s="18" t="s">
        <v>491</v>
      </c>
      <c r="F65" s="20" t="n">
        <v>-0.0695</v>
      </c>
      <c r="G65" s="20" t="n">
        <v>0.0066</v>
      </c>
      <c r="H65" s="28" t="n">
        <v>389</v>
      </c>
      <c r="I65" s="28" t="n">
        <v>75</v>
      </c>
      <c r="J65" s="30" t="n">
        <v>1591.3</v>
      </c>
      <c r="K65" s="28" t="n">
        <v>5.83</v>
      </c>
      <c r="L65" s="18" t="s">
        <v>944</v>
      </c>
    </row>
    <row r="66" customFormat="false" ht="15" hidden="false" customHeight="false" outlineLevel="0" collapsed="false">
      <c r="A66" s="18" t="n">
        <v>25</v>
      </c>
      <c r="B66" s="18" t="s">
        <v>934</v>
      </c>
      <c r="C66" s="18" t="s">
        <v>943</v>
      </c>
      <c r="D66" s="18" t="s">
        <v>931</v>
      </c>
      <c r="E66" s="18" t="s">
        <v>492</v>
      </c>
      <c r="F66" s="20" t="n">
        <v>-0.0654</v>
      </c>
      <c r="G66" s="20" t="n">
        <v>0.0104</v>
      </c>
      <c r="H66" s="28" t="n">
        <v>365.6</v>
      </c>
      <c r="I66" s="28" t="n">
        <v>73.1</v>
      </c>
      <c r="J66" s="30" t="n">
        <v>1470.7</v>
      </c>
      <c r="K66" s="28" t="n">
        <v>8.3</v>
      </c>
      <c r="L66" s="18" t="s">
        <v>944</v>
      </c>
    </row>
    <row r="67" customFormat="false" ht="15" hidden="false" customHeight="false" outlineLevel="0" collapsed="false">
      <c r="A67" s="18" t="n">
        <v>26</v>
      </c>
      <c r="B67" s="18" t="s">
        <v>934</v>
      </c>
      <c r="C67" s="18" t="s">
        <v>935</v>
      </c>
      <c r="D67" s="18" t="s">
        <v>931</v>
      </c>
      <c r="E67" s="18" t="s">
        <v>494</v>
      </c>
      <c r="F67" s="20" t="n">
        <v>0.0595</v>
      </c>
      <c r="G67" s="20" t="n">
        <v>0.0077</v>
      </c>
      <c r="H67" s="28" t="n">
        <v>416</v>
      </c>
      <c r="I67" s="28" t="n">
        <v>66.5</v>
      </c>
      <c r="J67" s="30" t="n">
        <v>1579.7</v>
      </c>
      <c r="K67" s="28" t="n">
        <v>6.98</v>
      </c>
      <c r="L67" s="18" t="s">
        <v>945</v>
      </c>
    </row>
    <row r="68" customFormat="false" ht="15" hidden="false" customHeight="false" outlineLevel="0" collapsed="false">
      <c r="A68" s="18" t="n">
        <v>26</v>
      </c>
      <c r="B68" s="18" t="s">
        <v>934</v>
      </c>
      <c r="C68" s="18" t="s">
        <v>935</v>
      </c>
      <c r="D68" s="18" t="s">
        <v>931</v>
      </c>
      <c r="E68" s="18" t="s">
        <v>495</v>
      </c>
      <c r="F68" s="20" t="n">
        <v>0.0351</v>
      </c>
      <c r="G68" s="20" t="n">
        <v>0.008</v>
      </c>
      <c r="H68" s="28" t="n">
        <v>360.1</v>
      </c>
      <c r="I68" s="28" t="n">
        <v>64.2</v>
      </c>
      <c r="J68" s="30" t="n">
        <v>1469.7</v>
      </c>
      <c r="K68" s="28" t="n">
        <v>8.78</v>
      </c>
      <c r="L68" s="18" t="s">
        <v>945</v>
      </c>
    </row>
    <row r="69" customFormat="false" ht="15" hidden="false" customHeight="false" outlineLevel="0" collapsed="false">
      <c r="A69" s="18" t="n">
        <v>27</v>
      </c>
      <c r="B69" s="18" t="s">
        <v>934</v>
      </c>
      <c r="C69" s="18" t="s">
        <v>937</v>
      </c>
      <c r="D69" s="18" t="s">
        <v>931</v>
      </c>
      <c r="E69" s="18" t="s">
        <v>494</v>
      </c>
      <c r="F69" s="20" t="n">
        <v>0.0582</v>
      </c>
      <c r="G69" s="20" t="n">
        <v>0.0066</v>
      </c>
      <c r="H69" s="28" t="n">
        <v>376.7</v>
      </c>
      <c r="I69" s="28" t="n">
        <v>74.6</v>
      </c>
      <c r="J69" s="30" t="n">
        <v>1570</v>
      </c>
      <c r="K69" s="28" t="n">
        <v>6.24</v>
      </c>
      <c r="L69" s="18" t="s">
        <v>946</v>
      </c>
    </row>
    <row r="70" customFormat="false" ht="15" hidden="false" customHeight="false" outlineLevel="0" collapsed="false">
      <c r="A70" s="18" t="n">
        <v>27</v>
      </c>
      <c r="B70" s="18" t="s">
        <v>934</v>
      </c>
      <c r="C70" s="18" t="s">
        <v>937</v>
      </c>
      <c r="D70" s="18" t="s">
        <v>931</v>
      </c>
      <c r="E70" s="18" t="s">
        <v>495</v>
      </c>
      <c r="F70" s="20" t="n">
        <v>0.0572</v>
      </c>
      <c r="G70" s="20" t="n">
        <v>0.008</v>
      </c>
      <c r="H70" s="28" t="n">
        <v>412.3</v>
      </c>
      <c r="I70" s="28" t="n">
        <v>79</v>
      </c>
      <c r="J70" s="30" t="n">
        <v>1457.3</v>
      </c>
      <c r="K70" s="28" t="n">
        <v>7.61</v>
      </c>
      <c r="L70" s="18" t="s">
        <v>946</v>
      </c>
    </row>
    <row r="71" customFormat="false" ht="15" hidden="false" customHeight="false" outlineLevel="0" collapsed="false">
      <c r="A71" s="18" t="n">
        <v>28</v>
      </c>
      <c r="B71" s="18" t="s">
        <v>934</v>
      </c>
      <c r="C71" s="18" t="s">
        <v>939</v>
      </c>
      <c r="D71" s="18" t="s">
        <v>931</v>
      </c>
      <c r="E71" s="18" t="s">
        <v>494</v>
      </c>
      <c r="F71" s="20" t="n">
        <v>0.0657</v>
      </c>
      <c r="G71" s="20" t="n">
        <v>0.0081</v>
      </c>
      <c r="H71" s="28" t="n">
        <v>341.5</v>
      </c>
      <c r="I71" s="28" t="n">
        <v>70.6</v>
      </c>
      <c r="J71" s="30" t="n">
        <v>1570.3</v>
      </c>
      <c r="K71" s="28" t="n">
        <v>7.31</v>
      </c>
      <c r="L71" s="18" t="s">
        <v>947</v>
      </c>
    </row>
    <row r="72" customFormat="false" ht="15" hidden="false" customHeight="false" outlineLevel="0" collapsed="false">
      <c r="A72" s="18" t="n">
        <v>28</v>
      </c>
      <c r="B72" s="18" t="s">
        <v>934</v>
      </c>
      <c r="C72" s="18" t="s">
        <v>939</v>
      </c>
      <c r="D72" s="18" t="s">
        <v>931</v>
      </c>
      <c r="E72" s="18" t="s">
        <v>495</v>
      </c>
      <c r="F72" s="20" t="n">
        <v>0.0495</v>
      </c>
      <c r="G72" s="20" t="n">
        <v>0.0067</v>
      </c>
      <c r="H72" s="28" t="n">
        <v>393</v>
      </c>
      <c r="I72" s="28" t="n">
        <v>82.5</v>
      </c>
      <c r="J72" s="30" t="n">
        <v>1453.3</v>
      </c>
      <c r="K72" s="28" t="n">
        <v>7.34</v>
      </c>
      <c r="L72" s="18" t="s">
        <v>947</v>
      </c>
    </row>
    <row r="73" customFormat="false" ht="15" hidden="false" customHeight="false" outlineLevel="0" collapsed="false">
      <c r="A73" s="18" t="n">
        <v>29</v>
      </c>
      <c r="B73" s="18" t="s">
        <v>934</v>
      </c>
      <c r="C73" s="18" t="s">
        <v>941</v>
      </c>
      <c r="D73" s="18" t="s">
        <v>931</v>
      </c>
      <c r="E73" s="18" t="s">
        <v>494</v>
      </c>
      <c r="F73" s="20" t="n">
        <v>0.0832</v>
      </c>
      <c r="G73" s="20" t="n">
        <v>0.0098</v>
      </c>
      <c r="H73" s="28" t="n">
        <v>382.2</v>
      </c>
      <c r="I73" s="28" t="n">
        <v>65.2</v>
      </c>
      <c r="J73" s="30" t="n">
        <v>1579.7</v>
      </c>
      <c r="K73" s="28" t="n">
        <v>7.5</v>
      </c>
      <c r="L73" s="18" t="s">
        <v>948</v>
      </c>
    </row>
    <row r="74" customFormat="false" ht="15" hidden="false" customHeight="false" outlineLevel="0" collapsed="false">
      <c r="A74" s="18" t="n">
        <v>29</v>
      </c>
      <c r="B74" s="18" t="s">
        <v>934</v>
      </c>
      <c r="C74" s="18" t="s">
        <v>941</v>
      </c>
      <c r="D74" s="18" t="s">
        <v>931</v>
      </c>
      <c r="E74" s="18" t="s">
        <v>495</v>
      </c>
      <c r="F74" s="20" t="n">
        <v>0.0533</v>
      </c>
      <c r="G74" s="20" t="n">
        <v>0.0129</v>
      </c>
      <c r="H74" s="28" t="n">
        <v>349.2</v>
      </c>
      <c r="I74" s="28" t="n">
        <v>56.6</v>
      </c>
      <c r="J74" s="30" t="n">
        <v>1475.7</v>
      </c>
      <c r="K74" s="28" t="n">
        <v>8.12</v>
      </c>
      <c r="L74" s="18" t="s">
        <v>948</v>
      </c>
    </row>
    <row r="75" customFormat="false" ht="15" hidden="false" customHeight="false" outlineLevel="0" collapsed="false">
      <c r="A75" s="18" t="n">
        <v>30</v>
      </c>
      <c r="B75" s="18" t="s">
        <v>934</v>
      </c>
      <c r="C75" s="18" t="s">
        <v>943</v>
      </c>
      <c r="D75" s="18" t="s">
        <v>931</v>
      </c>
      <c r="E75" s="18" t="s">
        <v>494</v>
      </c>
      <c r="F75" s="20" t="n">
        <v>0.075</v>
      </c>
      <c r="G75" s="20" t="n">
        <v>0.0126</v>
      </c>
      <c r="H75" s="28" t="n">
        <v>337.6</v>
      </c>
      <c r="I75" s="28" t="n">
        <v>70.6</v>
      </c>
      <c r="J75" s="30" t="n">
        <v>1572.3</v>
      </c>
      <c r="K75" s="28" t="n">
        <v>8.41</v>
      </c>
      <c r="L75" s="18" t="s">
        <v>949</v>
      </c>
    </row>
    <row r="76" customFormat="false" ht="15" hidden="false" customHeight="false" outlineLevel="0" collapsed="false">
      <c r="A76" s="18" t="n">
        <v>30</v>
      </c>
      <c r="B76" s="18" t="s">
        <v>934</v>
      </c>
      <c r="C76" s="18" t="s">
        <v>943</v>
      </c>
      <c r="D76" s="18" t="s">
        <v>931</v>
      </c>
      <c r="E76" s="18" t="s">
        <v>495</v>
      </c>
      <c r="F76" s="20" t="n">
        <v>0.0803</v>
      </c>
      <c r="G76" s="20" t="n">
        <v>0.0053</v>
      </c>
      <c r="H76" s="28" t="n">
        <v>364.4</v>
      </c>
      <c r="I76" s="28" t="n">
        <v>74.6</v>
      </c>
      <c r="J76" s="30" t="n">
        <v>1462.3</v>
      </c>
      <c r="K76" s="28" t="n">
        <v>6.62</v>
      </c>
      <c r="L76" s="18" t="s">
        <v>949</v>
      </c>
    </row>
    <row r="77" customFormat="false" ht="15" hidden="false" customHeight="false" outlineLevel="0" collapsed="false">
      <c r="A77" s="18" t="n">
        <v>31</v>
      </c>
      <c r="B77" s="18" t="s">
        <v>950</v>
      </c>
      <c r="C77" s="18" t="s">
        <v>951</v>
      </c>
      <c r="D77" s="18" t="s">
        <v>931</v>
      </c>
      <c r="E77" s="18" t="s">
        <v>491</v>
      </c>
      <c r="F77" s="20" t="n">
        <v>-0.0404</v>
      </c>
      <c r="G77" s="20" t="n">
        <v>0.015</v>
      </c>
      <c r="H77" s="28" t="n">
        <v>410</v>
      </c>
      <c r="I77" s="28" t="n">
        <v>74.3</v>
      </c>
      <c r="J77" s="30" t="n">
        <v>1596.3</v>
      </c>
      <c r="K77" s="28" t="n">
        <v>8.77</v>
      </c>
      <c r="L77" s="18" t="s">
        <v>952</v>
      </c>
    </row>
    <row r="78" customFormat="false" ht="15" hidden="false" customHeight="false" outlineLevel="0" collapsed="false">
      <c r="A78" s="18" t="n">
        <v>31</v>
      </c>
      <c r="B78" s="18" t="s">
        <v>950</v>
      </c>
      <c r="C78" s="18" t="s">
        <v>951</v>
      </c>
      <c r="D78" s="18" t="s">
        <v>931</v>
      </c>
      <c r="E78" s="18" t="s">
        <v>492</v>
      </c>
      <c r="F78" s="20" t="n">
        <v>-0.0646</v>
      </c>
      <c r="G78" s="20" t="n">
        <v>0.0073</v>
      </c>
      <c r="H78" s="28" t="n">
        <v>402.8</v>
      </c>
      <c r="I78" s="28" t="n">
        <v>69.8</v>
      </c>
      <c r="J78" s="30" t="n">
        <v>1477</v>
      </c>
      <c r="K78" s="28" t="n">
        <v>6.33</v>
      </c>
      <c r="L78" s="18" t="s">
        <v>952</v>
      </c>
    </row>
    <row r="79" customFormat="false" ht="15" hidden="false" customHeight="false" outlineLevel="0" collapsed="false">
      <c r="A79" s="18" t="n">
        <v>32</v>
      </c>
      <c r="B79" s="18" t="s">
        <v>950</v>
      </c>
      <c r="C79" s="18" t="s">
        <v>951</v>
      </c>
      <c r="D79" s="18" t="s">
        <v>931</v>
      </c>
      <c r="E79" s="18" t="s">
        <v>494</v>
      </c>
      <c r="F79" s="20" t="n">
        <v>0.0628</v>
      </c>
      <c r="G79" s="20" t="n">
        <v>0.0075</v>
      </c>
      <c r="H79" s="28" t="n">
        <v>427.9</v>
      </c>
      <c r="I79" s="28" t="n">
        <v>71.9</v>
      </c>
      <c r="J79" s="30" t="n">
        <v>1578</v>
      </c>
      <c r="K79" s="28" t="n">
        <v>5.36</v>
      </c>
      <c r="L79" s="18" t="s">
        <v>953</v>
      </c>
    </row>
    <row r="80" customFormat="false" ht="15" hidden="false" customHeight="false" outlineLevel="0" collapsed="false">
      <c r="A80" s="18" t="n">
        <v>32</v>
      </c>
      <c r="B80" s="18" t="s">
        <v>950</v>
      </c>
      <c r="C80" s="18" t="s">
        <v>951</v>
      </c>
      <c r="D80" s="18" t="s">
        <v>931</v>
      </c>
      <c r="E80" s="18" t="s">
        <v>495</v>
      </c>
      <c r="F80" s="20" t="n">
        <v>0.0669</v>
      </c>
      <c r="G80" s="20" t="n">
        <v>0.0089</v>
      </c>
      <c r="H80" s="28" t="n">
        <v>326.9</v>
      </c>
      <c r="I80" s="28" t="n">
        <v>54.1</v>
      </c>
      <c r="J80" s="30" t="n">
        <v>1481</v>
      </c>
      <c r="K80" s="28" t="n">
        <v>8.03</v>
      </c>
      <c r="L80" s="18" t="s">
        <v>953</v>
      </c>
    </row>
    <row r="81" customFormat="false" ht="15" hidden="false" customHeight="false" outlineLevel="0" collapsed="false">
      <c r="A81" s="18" t="n">
        <v>34</v>
      </c>
      <c r="B81" s="18" t="s">
        <v>950</v>
      </c>
      <c r="C81" s="18" t="s">
        <v>954</v>
      </c>
      <c r="D81" s="18" t="s">
        <v>931</v>
      </c>
      <c r="E81" s="18" t="s">
        <v>491</v>
      </c>
      <c r="F81" s="20" t="n">
        <v>-0.0549</v>
      </c>
      <c r="G81" s="20" t="n">
        <v>0.0094</v>
      </c>
      <c r="H81" s="28" t="n">
        <v>391.1</v>
      </c>
      <c r="I81" s="28" t="n">
        <v>74.1</v>
      </c>
      <c r="J81" s="30" t="n">
        <v>1597.3</v>
      </c>
      <c r="K81" s="28" t="n">
        <v>7.4</v>
      </c>
      <c r="L81" s="18" t="s">
        <v>955</v>
      </c>
    </row>
    <row r="82" customFormat="false" ht="15" hidden="false" customHeight="false" outlineLevel="0" collapsed="false">
      <c r="A82" s="18" t="n">
        <v>34</v>
      </c>
      <c r="B82" s="18" t="s">
        <v>950</v>
      </c>
      <c r="C82" s="18" t="s">
        <v>954</v>
      </c>
      <c r="D82" s="18" t="s">
        <v>931</v>
      </c>
      <c r="E82" s="18" t="s">
        <v>492</v>
      </c>
      <c r="F82" s="20" t="n">
        <v>-0.052</v>
      </c>
      <c r="G82" s="20" t="n">
        <v>0.0077</v>
      </c>
      <c r="H82" s="28" t="n">
        <v>372.7</v>
      </c>
      <c r="I82" s="28" t="n">
        <v>72.9</v>
      </c>
      <c r="J82" s="30" t="n">
        <v>1475.3</v>
      </c>
      <c r="K82" s="28" t="n">
        <v>7.2</v>
      </c>
      <c r="L82" s="18" t="s">
        <v>955</v>
      </c>
    </row>
    <row r="83" customFormat="false" ht="15" hidden="false" customHeight="false" outlineLevel="0" collapsed="false">
      <c r="A83" s="18" t="n">
        <v>35</v>
      </c>
      <c r="B83" s="18" t="s">
        <v>950</v>
      </c>
      <c r="C83" s="18" t="s">
        <v>956</v>
      </c>
      <c r="D83" s="18" t="s">
        <v>931</v>
      </c>
      <c r="E83" s="18" t="s">
        <v>491</v>
      </c>
      <c r="F83" s="20" t="n">
        <v>-0.0964</v>
      </c>
      <c r="G83" s="20" t="n">
        <v>0.0097</v>
      </c>
      <c r="H83" s="28" t="n">
        <v>369</v>
      </c>
      <c r="I83" s="28" t="n">
        <v>75.1</v>
      </c>
      <c r="J83" s="30" t="n">
        <v>1587</v>
      </c>
      <c r="K83" s="28" t="n">
        <v>7.83</v>
      </c>
      <c r="L83" s="18" t="s">
        <v>957</v>
      </c>
    </row>
    <row r="84" customFormat="false" ht="15" hidden="false" customHeight="false" outlineLevel="0" collapsed="false">
      <c r="A84" s="18" t="n">
        <v>35</v>
      </c>
      <c r="B84" s="18" t="s">
        <v>950</v>
      </c>
      <c r="C84" s="18" t="s">
        <v>956</v>
      </c>
      <c r="D84" s="18" t="s">
        <v>931</v>
      </c>
      <c r="E84" s="18" t="s">
        <v>492</v>
      </c>
      <c r="F84" s="20" t="n">
        <v>-0.1</v>
      </c>
      <c r="G84" s="20" t="n">
        <v>0.0084</v>
      </c>
      <c r="H84" s="28" t="n">
        <v>312.3</v>
      </c>
      <c r="I84" s="28" t="n">
        <v>69.5</v>
      </c>
      <c r="J84" s="30" t="n">
        <v>1466.3</v>
      </c>
      <c r="K84" s="28" t="n">
        <v>8.32</v>
      </c>
      <c r="L84" s="18" t="s">
        <v>957</v>
      </c>
    </row>
    <row r="85" customFormat="false" ht="15" hidden="false" customHeight="false" outlineLevel="0" collapsed="false">
      <c r="A85" s="18" t="n">
        <v>36</v>
      </c>
      <c r="B85" s="18" t="s">
        <v>950</v>
      </c>
      <c r="C85" s="18" t="s">
        <v>958</v>
      </c>
      <c r="D85" s="18" t="s">
        <v>931</v>
      </c>
      <c r="E85" s="18" t="s">
        <v>491</v>
      </c>
      <c r="F85" s="20" t="n">
        <v>-0.0678</v>
      </c>
      <c r="G85" s="20" t="n">
        <v>0.0122</v>
      </c>
      <c r="H85" s="28" t="n">
        <v>348</v>
      </c>
      <c r="I85" s="28" t="n">
        <v>73.3</v>
      </c>
      <c r="J85" s="30" t="n">
        <v>1597.7</v>
      </c>
      <c r="K85" s="28" t="n">
        <v>8.72</v>
      </c>
      <c r="L85" s="18" t="s">
        <v>959</v>
      </c>
    </row>
    <row r="86" customFormat="false" ht="15" hidden="false" customHeight="false" outlineLevel="0" collapsed="false">
      <c r="A86" s="18" t="n">
        <v>36</v>
      </c>
      <c r="B86" s="18" t="s">
        <v>950</v>
      </c>
      <c r="C86" s="18" t="s">
        <v>958</v>
      </c>
      <c r="D86" s="18" t="s">
        <v>931</v>
      </c>
      <c r="E86" s="18" t="s">
        <v>492</v>
      </c>
      <c r="F86" s="20" t="n">
        <v>-0.0596</v>
      </c>
      <c r="G86" s="20" t="n">
        <v>0.0137</v>
      </c>
      <c r="H86" s="28" t="n">
        <v>351.9</v>
      </c>
      <c r="I86" s="28" t="n">
        <v>74</v>
      </c>
      <c r="J86" s="30" t="n">
        <v>1472</v>
      </c>
      <c r="K86" s="28" t="n">
        <v>9.53</v>
      </c>
      <c r="L86" s="18" t="s">
        <v>959</v>
      </c>
    </row>
    <row r="87" customFormat="false" ht="15" hidden="false" customHeight="false" outlineLevel="0" collapsed="false">
      <c r="A87" s="18" t="n">
        <v>37</v>
      </c>
      <c r="B87" s="18" t="s">
        <v>950</v>
      </c>
      <c r="C87" s="18" t="s">
        <v>960</v>
      </c>
      <c r="D87" s="18" t="s">
        <v>931</v>
      </c>
      <c r="E87" s="18" t="s">
        <v>491</v>
      </c>
      <c r="F87" s="20" t="n">
        <v>-0.0691</v>
      </c>
      <c r="G87" s="20" t="n">
        <v>0.0084</v>
      </c>
      <c r="H87" s="28" t="n">
        <v>412.7</v>
      </c>
      <c r="I87" s="28" t="n">
        <v>69.7</v>
      </c>
      <c r="J87" s="30" t="n">
        <v>1607.7</v>
      </c>
      <c r="K87" s="28" t="n">
        <v>7.87</v>
      </c>
      <c r="L87" s="18" t="s">
        <v>961</v>
      </c>
    </row>
    <row r="88" customFormat="false" ht="15" hidden="false" customHeight="false" outlineLevel="0" collapsed="false">
      <c r="A88" s="18" t="n">
        <v>37</v>
      </c>
      <c r="B88" s="18" t="s">
        <v>950</v>
      </c>
      <c r="C88" s="18" t="s">
        <v>960</v>
      </c>
      <c r="D88" s="18" t="s">
        <v>931</v>
      </c>
      <c r="E88" s="18" t="s">
        <v>492</v>
      </c>
      <c r="F88" s="20" t="n">
        <v>-0.0529</v>
      </c>
      <c r="G88" s="20" t="n">
        <v>0.0113</v>
      </c>
      <c r="H88" s="28" t="n">
        <v>388.4</v>
      </c>
      <c r="I88" s="28" t="n">
        <v>78.1</v>
      </c>
      <c r="J88" s="30" t="n">
        <v>1476.3</v>
      </c>
      <c r="K88" s="28" t="n">
        <v>8.06</v>
      </c>
      <c r="L88" s="18" t="s">
        <v>961</v>
      </c>
    </row>
    <row r="89" customFormat="false" ht="15" hidden="false" customHeight="false" outlineLevel="0" collapsed="false">
      <c r="A89" s="18" t="n">
        <v>38</v>
      </c>
      <c r="B89" s="18" t="s">
        <v>950</v>
      </c>
      <c r="C89" s="18" t="s">
        <v>962</v>
      </c>
      <c r="D89" s="18" t="s">
        <v>931</v>
      </c>
      <c r="E89" s="18" t="s">
        <v>491</v>
      </c>
      <c r="F89" s="20" t="n">
        <v>-0.0605</v>
      </c>
      <c r="G89" s="20" t="n">
        <v>0.0112</v>
      </c>
      <c r="H89" s="28" t="n">
        <v>405.6</v>
      </c>
      <c r="I89" s="28" t="n">
        <v>83.8</v>
      </c>
      <c r="J89" s="30" t="n">
        <v>1595.3</v>
      </c>
      <c r="K89" s="28" t="n">
        <v>7.18</v>
      </c>
      <c r="L89" s="18" t="s">
        <v>963</v>
      </c>
    </row>
    <row r="90" customFormat="false" ht="15" hidden="false" customHeight="false" outlineLevel="0" collapsed="false">
      <c r="A90" s="18" t="n">
        <v>38</v>
      </c>
      <c r="B90" s="18" t="s">
        <v>950</v>
      </c>
      <c r="C90" s="18" t="s">
        <v>962</v>
      </c>
      <c r="D90" s="18" t="s">
        <v>931</v>
      </c>
      <c r="E90" s="18" t="s">
        <v>492</v>
      </c>
      <c r="F90" s="20" t="n">
        <v>-0.0726</v>
      </c>
      <c r="G90" s="20" t="n">
        <v>0.007</v>
      </c>
      <c r="H90" s="28" t="n">
        <v>416.6</v>
      </c>
      <c r="I90" s="28" t="n">
        <v>76.8</v>
      </c>
      <c r="J90" s="30" t="n">
        <v>1476</v>
      </c>
      <c r="K90" s="28" t="n">
        <v>8.51</v>
      </c>
      <c r="L90" s="18" t="s">
        <v>963</v>
      </c>
    </row>
    <row r="91" customFormat="false" ht="15" hidden="false" customHeight="false" outlineLevel="0" collapsed="false">
      <c r="A91" s="18" t="n">
        <v>39</v>
      </c>
      <c r="B91" s="18" t="s">
        <v>950</v>
      </c>
      <c r="C91" s="18" t="s">
        <v>964</v>
      </c>
      <c r="D91" s="18" t="s">
        <v>931</v>
      </c>
      <c r="E91" s="18" t="s">
        <v>491</v>
      </c>
      <c r="F91" s="20" t="n">
        <v>-0.0479</v>
      </c>
      <c r="G91" s="20" t="n">
        <v>0.0131</v>
      </c>
      <c r="H91" s="28" t="n">
        <v>391.7</v>
      </c>
      <c r="I91" s="28" t="n">
        <v>61.5</v>
      </c>
      <c r="J91" s="30" t="n">
        <v>1618.7</v>
      </c>
      <c r="K91" s="28" t="n">
        <v>8.63</v>
      </c>
      <c r="L91" s="18" t="s">
        <v>965</v>
      </c>
    </row>
    <row r="92" customFormat="false" ht="15" hidden="false" customHeight="false" outlineLevel="0" collapsed="false">
      <c r="A92" s="18" t="n">
        <v>39</v>
      </c>
      <c r="B92" s="18" t="s">
        <v>950</v>
      </c>
      <c r="C92" s="18" t="s">
        <v>964</v>
      </c>
      <c r="D92" s="18" t="s">
        <v>931</v>
      </c>
      <c r="E92" s="18" t="s">
        <v>492</v>
      </c>
      <c r="F92" s="20" t="n">
        <v>-0.0449</v>
      </c>
      <c r="G92" s="20" t="n">
        <v>0.0093</v>
      </c>
      <c r="H92" s="28" t="n">
        <v>331.9</v>
      </c>
      <c r="I92" s="28" t="n">
        <v>62.8</v>
      </c>
      <c r="J92" s="30" t="n">
        <v>1489.3</v>
      </c>
      <c r="K92" s="28" t="n">
        <v>7.43</v>
      </c>
      <c r="L92" s="18" t="s">
        <v>965</v>
      </c>
    </row>
    <row r="93" customFormat="false" ht="15" hidden="false" customHeight="false" outlineLevel="0" collapsed="false">
      <c r="A93" s="18" t="n">
        <v>40</v>
      </c>
      <c r="B93" s="18" t="s">
        <v>950</v>
      </c>
      <c r="C93" s="18" t="s">
        <v>966</v>
      </c>
      <c r="D93" s="18" t="s">
        <v>931</v>
      </c>
      <c r="E93" s="18" t="s">
        <v>491</v>
      </c>
      <c r="F93" s="20" t="n">
        <v>-0.055</v>
      </c>
      <c r="G93" s="20" t="n">
        <v>0.0059</v>
      </c>
      <c r="H93" s="28" t="n">
        <v>372.8</v>
      </c>
      <c r="I93" s="28" t="n">
        <v>72.1</v>
      </c>
      <c r="J93" s="30" t="n">
        <v>1608.3</v>
      </c>
      <c r="K93" s="28" t="n">
        <v>6.24</v>
      </c>
      <c r="L93" s="18" t="s">
        <v>967</v>
      </c>
    </row>
    <row r="94" customFormat="false" ht="15" hidden="false" customHeight="false" outlineLevel="0" collapsed="false">
      <c r="A94" s="18" t="n">
        <v>40</v>
      </c>
      <c r="B94" s="18" t="s">
        <v>950</v>
      </c>
      <c r="C94" s="18" t="s">
        <v>966</v>
      </c>
      <c r="D94" s="18" t="s">
        <v>931</v>
      </c>
      <c r="E94" s="18" t="s">
        <v>492</v>
      </c>
      <c r="F94" s="20" t="n">
        <v>-0.0511</v>
      </c>
      <c r="G94" s="20" t="n">
        <v>0.0062</v>
      </c>
      <c r="H94" s="28" t="n">
        <v>404.5</v>
      </c>
      <c r="I94" s="28" t="n">
        <v>69.5</v>
      </c>
      <c r="J94" s="30" t="n">
        <v>1488.7</v>
      </c>
      <c r="K94" s="28" t="n">
        <v>7.12</v>
      </c>
      <c r="L94" s="18" t="s">
        <v>967</v>
      </c>
    </row>
    <row r="95" customFormat="false" ht="15" hidden="false" customHeight="false" outlineLevel="0" collapsed="false">
      <c r="A95" s="18" t="n">
        <v>41</v>
      </c>
      <c r="B95" s="18" t="s">
        <v>950</v>
      </c>
      <c r="C95" s="18" t="s">
        <v>968</v>
      </c>
      <c r="D95" s="18" t="s">
        <v>931</v>
      </c>
      <c r="E95" s="18" t="s">
        <v>491</v>
      </c>
      <c r="F95" s="20" t="n">
        <v>-0.0605</v>
      </c>
      <c r="G95" s="20" t="n">
        <v>0.0043</v>
      </c>
      <c r="H95" s="28" t="n">
        <v>397.8</v>
      </c>
      <c r="I95" s="28" t="n">
        <v>59.4</v>
      </c>
      <c r="J95" s="30" t="n">
        <v>1621.3</v>
      </c>
      <c r="K95" s="28" t="n">
        <v>6.51</v>
      </c>
      <c r="L95" s="18" t="s">
        <v>969</v>
      </c>
    </row>
    <row r="96" customFormat="false" ht="15" hidden="false" customHeight="false" outlineLevel="0" collapsed="false">
      <c r="A96" s="18" t="n">
        <v>41</v>
      </c>
      <c r="B96" s="18" t="s">
        <v>950</v>
      </c>
      <c r="C96" s="18" t="s">
        <v>968</v>
      </c>
      <c r="D96" s="18" t="s">
        <v>931</v>
      </c>
      <c r="E96" s="18" t="s">
        <v>492</v>
      </c>
      <c r="F96" s="20" t="n">
        <v>-0.0449</v>
      </c>
      <c r="G96" s="20" t="n">
        <v>0.0077</v>
      </c>
      <c r="H96" s="28" t="n">
        <v>386</v>
      </c>
      <c r="I96" s="28" t="n">
        <v>60.8</v>
      </c>
      <c r="J96" s="30" t="n">
        <v>1496.7</v>
      </c>
      <c r="K96" s="28" t="n">
        <v>6.88</v>
      </c>
      <c r="L96" s="18" t="s">
        <v>969</v>
      </c>
    </row>
    <row r="97" customFormat="false" ht="15" hidden="false" customHeight="false" outlineLevel="0" collapsed="false">
      <c r="A97" s="18" t="n">
        <v>42</v>
      </c>
      <c r="B97" s="18" t="s">
        <v>950</v>
      </c>
      <c r="C97" s="18" t="s">
        <v>970</v>
      </c>
      <c r="D97" s="18" t="s">
        <v>931</v>
      </c>
      <c r="E97" s="18" t="s">
        <v>491</v>
      </c>
      <c r="F97" s="20" t="n">
        <v>-0.0565</v>
      </c>
      <c r="G97" s="20" t="n">
        <v>0.0062</v>
      </c>
      <c r="H97" s="28" t="n">
        <v>397.1</v>
      </c>
      <c r="I97" s="28" t="n">
        <v>52.6</v>
      </c>
      <c r="J97" s="30" t="n">
        <v>1628</v>
      </c>
      <c r="K97" s="28" t="n">
        <v>8.59</v>
      </c>
      <c r="L97" s="18" t="s">
        <v>971</v>
      </c>
    </row>
    <row r="98" customFormat="false" ht="15" hidden="false" customHeight="false" outlineLevel="0" collapsed="false">
      <c r="A98" s="18" t="n">
        <v>42</v>
      </c>
      <c r="B98" s="18" t="s">
        <v>950</v>
      </c>
      <c r="C98" s="18" t="s">
        <v>970</v>
      </c>
      <c r="D98" s="18" t="s">
        <v>931</v>
      </c>
      <c r="E98" s="18" t="s">
        <v>492</v>
      </c>
      <c r="F98" s="20" t="n">
        <v>-0.0498</v>
      </c>
      <c r="G98" s="20" t="n">
        <v>0.0048</v>
      </c>
      <c r="H98" s="28" t="n">
        <v>412.2</v>
      </c>
      <c r="I98" s="28" t="n">
        <v>52.2</v>
      </c>
      <c r="J98" s="30" t="n">
        <v>1508</v>
      </c>
      <c r="K98" s="28" t="n">
        <v>7.62</v>
      </c>
      <c r="L98" s="18" t="s">
        <v>971</v>
      </c>
    </row>
    <row r="99" customFormat="false" ht="15" hidden="false" customHeight="false" outlineLevel="0" collapsed="false">
      <c r="A99" s="18" t="n">
        <v>43</v>
      </c>
      <c r="B99" s="18" t="s">
        <v>950</v>
      </c>
      <c r="C99" s="18" t="s">
        <v>972</v>
      </c>
      <c r="D99" s="18" t="s">
        <v>931</v>
      </c>
      <c r="E99" s="18" t="s">
        <v>491</v>
      </c>
      <c r="F99" s="20" t="n">
        <v>-0.0446</v>
      </c>
      <c r="G99" s="20" t="n">
        <v>0.0065</v>
      </c>
      <c r="H99" s="28" t="n">
        <v>401.4</v>
      </c>
      <c r="I99" s="28" t="n">
        <v>82.8</v>
      </c>
      <c r="J99" s="30" t="n">
        <v>1600</v>
      </c>
      <c r="K99" s="28" t="n">
        <v>8.21</v>
      </c>
      <c r="L99" s="18" t="s">
        <v>973</v>
      </c>
    </row>
    <row r="100" customFormat="false" ht="15" hidden="false" customHeight="false" outlineLevel="0" collapsed="false">
      <c r="A100" s="18" t="n">
        <v>43</v>
      </c>
      <c r="B100" s="18" t="s">
        <v>950</v>
      </c>
      <c r="C100" s="18" t="s">
        <v>972</v>
      </c>
      <c r="D100" s="18" t="s">
        <v>931</v>
      </c>
      <c r="E100" s="18" t="s">
        <v>492</v>
      </c>
      <c r="F100" s="20" t="n">
        <v>-0.0331</v>
      </c>
      <c r="G100" s="20" t="n">
        <v>0.0101</v>
      </c>
      <c r="H100" s="28" t="n">
        <v>361.1</v>
      </c>
      <c r="I100" s="28" t="n">
        <v>81.7</v>
      </c>
      <c r="J100" s="30" t="n">
        <v>1475.3</v>
      </c>
      <c r="K100" s="28" t="n">
        <v>8.25</v>
      </c>
      <c r="L100" s="18" t="s">
        <v>973</v>
      </c>
    </row>
    <row r="101" customFormat="false" ht="15" hidden="false" customHeight="false" outlineLevel="0" collapsed="false">
      <c r="A101" s="18" t="n">
        <v>44</v>
      </c>
      <c r="B101" s="18" t="s">
        <v>950</v>
      </c>
      <c r="C101" s="18" t="s">
        <v>974</v>
      </c>
      <c r="D101" s="18" t="s">
        <v>931</v>
      </c>
      <c r="E101" s="18" t="s">
        <v>491</v>
      </c>
      <c r="F101" s="20" t="n">
        <v>-0.0451</v>
      </c>
      <c r="G101" s="20" t="n">
        <v>0.011</v>
      </c>
      <c r="H101" s="28" t="n">
        <v>395.7</v>
      </c>
      <c r="I101" s="28" t="n">
        <v>96.9</v>
      </c>
      <c r="J101" s="30" t="n">
        <v>1585.3</v>
      </c>
      <c r="K101" s="28" t="n">
        <v>7.95</v>
      </c>
      <c r="L101" s="18" t="s">
        <v>975</v>
      </c>
    </row>
    <row r="102" customFormat="false" ht="15" hidden="false" customHeight="false" outlineLevel="0" collapsed="false">
      <c r="A102" s="18" t="n">
        <v>44</v>
      </c>
      <c r="B102" s="18" t="s">
        <v>950</v>
      </c>
      <c r="C102" s="18" t="s">
        <v>974</v>
      </c>
      <c r="D102" s="18" t="s">
        <v>931</v>
      </c>
      <c r="E102" s="18" t="s">
        <v>492</v>
      </c>
      <c r="F102" s="20" t="n">
        <v>-0.0438</v>
      </c>
      <c r="G102" s="20" t="n">
        <v>0.0062</v>
      </c>
      <c r="H102" s="28" t="n">
        <v>383.7</v>
      </c>
      <c r="I102" s="28" t="n">
        <v>95.5</v>
      </c>
      <c r="J102" s="30" t="n">
        <v>1464.7</v>
      </c>
      <c r="K102" s="28" t="n">
        <v>7.14</v>
      </c>
      <c r="L102" s="18" t="s">
        <v>975</v>
      </c>
    </row>
    <row r="103" customFormat="false" ht="15" hidden="false" customHeight="false" outlineLevel="0" collapsed="false">
      <c r="A103" s="18" t="n">
        <v>45</v>
      </c>
      <c r="B103" s="18" t="s">
        <v>950</v>
      </c>
      <c r="C103" s="18" t="s">
        <v>976</v>
      </c>
      <c r="D103" s="18" t="s">
        <v>931</v>
      </c>
      <c r="E103" s="18" t="s">
        <v>491</v>
      </c>
      <c r="F103" s="20" t="n">
        <v>-0.0489</v>
      </c>
      <c r="G103" s="20" t="n">
        <v>0.0073</v>
      </c>
      <c r="H103" s="28" t="n">
        <v>379.7</v>
      </c>
      <c r="I103" s="28" t="n">
        <v>81.4</v>
      </c>
      <c r="J103" s="30" t="n">
        <v>1604.3</v>
      </c>
      <c r="K103" s="28" t="n">
        <v>6.96</v>
      </c>
      <c r="L103" s="18" t="s">
        <v>977</v>
      </c>
    </row>
    <row r="104" customFormat="false" ht="15" hidden="false" customHeight="false" outlineLevel="0" collapsed="false">
      <c r="A104" s="18" t="n">
        <v>45</v>
      </c>
      <c r="B104" s="18" t="s">
        <v>950</v>
      </c>
      <c r="C104" s="18" t="s">
        <v>976</v>
      </c>
      <c r="D104" s="18" t="s">
        <v>931</v>
      </c>
      <c r="E104" s="18" t="s">
        <v>492</v>
      </c>
      <c r="F104" s="20" t="n">
        <v>-0.0516</v>
      </c>
      <c r="G104" s="20" t="n">
        <v>0.0118</v>
      </c>
      <c r="H104" s="28" t="n">
        <v>331.8</v>
      </c>
      <c r="I104" s="28" t="n">
        <v>73.6</v>
      </c>
      <c r="J104" s="30" t="n">
        <v>1485.3</v>
      </c>
      <c r="K104" s="28" t="n">
        <v>7.67</v>
      </c>
      <c r="L104" s="18" t="s">
        <v>977</v>
      </c>
    </row>
    <row r="105" customFormat="false" ht="15" hidden="false" customHeight="false" outlineLevel="0" collapsed="false">
      <c r="A105" s="18" t="n">
        <v>46</v>
      </c>
      <c r="B105" s="18" t="s">
        <v>950</v>
      </c>
      <c r="C105" s="18" t="s">
        <v>978</v>
      </c>
      <c r="D105" s="18" t="s">
        <v>931</v>
      </c>
      <c r="E105" s="18" t="s">
        <v>491</v>
      </c>
      <c r="F105" s="20" t="n">
        <v>-0.0555</v>
      </c>
      <c r="G105" s="20" t="n">
        <v>0.0082</v>
      </c>
      <c r="H105" s="28" t="n">
        <v>418.4</v>
      </c>
      <c r="I105" s="28" t="n">
        <v>81.4</v>
      </c>
      <c r="J105" s="30" t="n">
        <v>1607.3</v>
      </c>
      <c r="K105" s="28" t="n">
        <v>6.14</v>
      </c>
      <c r="L105" s="18" t="s">
        <v>979</v>
      </c>
    </row>
    <row r="106" customFormat="false" ht="15" hidden="false" customHeight="false" outlineLevel="0" collapsed="false">
      <c r="A106" s="18" t="n">
        <v>46</v>
      </c>
      <c r="B106" s="18" t="s">
        <v>950</v>
      </c>
      <c r="C106" s="18" t="s">
        <v>978</v>
      </c>
      <c r="D106" s="18" t="s">
        <v>931</v>
      </c>
      <c r="E106" s="18" t="s">
        <v>492</v>
      </c>
      <c r="F106" s="20" t="n">
        <v>-0.0452</v>
      </c>
      <c r="G106" s="20" t="n">
        <v>0.0096</v>
      </c>
      <c r="H106" s="28" t="n">
        <v>345.7</v>
      </c>
      <c r="I106" s="28" t="n">
        <v>81.8</v>
      </c>
      <c r="J106" s="30" t="n">
        <v>1479</v>
      </c>
      <c r="K106" s="28" t="n">
        <v>9.24</v>
      </c>
      <c r="L106" s="18" t="s">
        <v>979</v>
      </c>
    </row>
    <row r="107" customFormat="false" ht="15" hidden="false" customHeight="false" outlineLevel="0" collapsed="false">
      <c r="A107" s="18" t="n">
        <v>48</v>
      </c>
      <c r="B107" s="18" t="s">
        <v>950</v>
      </c>
      <c r="C107" s="18" t="s">
        <v>980</v>
      </c>
      <c r="D107" s="18" t="s">
        <v>931</v>
      </c>
      <c r="E107" s="18" t="s">
        <v>491</v>
      </c>
      <c r="F107" s="20" t="n">
        <v>-0.0437</v>
      </c>
      <c r="G107" s="20" t="n">
        <v>0.0105</v>
      </c>
      <c r="H107" s="28" t="n">
        <v>368</v>
      </c>
      <c r="I107" s="28" t="n">
        <v>87.5</v>
      </c>
      <c r="J107" s="30" t="n">
        <v>1603</v>
      </c>
      <c r="K107" s="28" t="n">
        <v>7.73</v>
      </c>
      <c r="L107" s="18" t="s">
        <v>981</v>
      </c>
    </row>
    <row r="108" customFormat="false" ht="15" hidden="false" customHeight="false" outlineLevel="0" collapsed="false">
      <c r="A108" s="18" t="n">
        <v>48</v>
      </c>
      <c r="B108" s="18" t="s">
        <v>950</v>
      </c>
      <c r="C108" s="18" t="s">
        <v>980</v>
      </c>
      <c r="D108" s="18" t="s">
        <v>931</v>
      </c>
      <c r="E108" s="18" t="s">
        <v>492</v>
      </c>
      <c r="F108" s="20" t="n">
        <v>-0.0725</v>
      </c>
      <c r="G108" s="20" t="n">
        <v>0.0115</v>
      </c>
      <c r="H108" s="28" t="n">
        <v>369.9</v>
      </c>
      <c r="I108" s="28" t="n">
        <v>93.6</v>
      </c>
      <c r="J108" s="30" t="n">
        <v>1477.7</v>
      </c>
      <c r="K108" s="28" t="n">
        <v>9.35</v>
      </c>
      <c r="L108" s="18" t="s">
        <v>981</v>
      </c>
    </row>
    <row r="109" customFormat="false" ht="15" hidden="false" customHeight="false" outlineLevel="0" collapsed="false">
      <c r="A109" s="18" t="n">
        <v>49</v>
      </c>
      <c r="B109" s="18" t="s">
        <v>950</v>
      </c>
      <c r="C109" s="18" t="s">
        <v>982</v>
      </c>
      <c r="D109" s="18" t="s">
        <v>931</v>
      </c>
      <c r="E109" s="18" t="s">
        <v>491</v>
      </c>
      <c r="F109" s="20" t="n">
        <v>-0.0678</v>
      </c>
      <c r="G109" s="20" t="n">
        <v>0.0095</v>
      </c>
      <c r="H109" s="28" t="n">
        <v>401.2</v>
      </c>
      <c r="I109" s="28" t="n">
        <v>66.3</v>
      </c>
      <c r="J109" s="30" t="n">
        <v>1616</v>
      </c>
      <c r="K109" s="28" t="n">
        <v>6.67</v>
      </c>
      <c r="L109" s="18" t="s">
        <v>983</v>
      </c>
    </row>
    <row r="110" customFormat="false" ht="15" hidden="false" customHeight="false" outlineLevel="0" collapsed="false">
      <c r="A110" s="18" t="n">
        <v>49</v>
      </c>
      <c r="B110" s="18" t="s">
        <v>950</v>
      </c>
      <c r="C110" s="18" t="s">
        <v>982</v>
      </c>
      <c r="D110" s="18" t="s">
        <v>931</v>
      </c>
      <c r="E110" s="18" t="s">
        <v>492</v>
      </c>
      <c r="F110" s="20" t="n">
        <v>-0.0806</v>
      </c>
      <c r="G110" s="20" t="n">
        <v>0.0075</v>
      </c>
      <c r="H110" s="28" t="n">
        <v>386.8</v>
      </c>
      <c r="I110" s="28" t="n">
        <v>75.3</v>
      </c>
      <c r="J110" s="30" t="n">
        <v>1485</v>
      </c>
      <c r="K110" s="28" t="n">
        <v>10.42</v>
      </c>
      <c r="L110" s="18" t="s">
        <v>983</v>
      </c>
    </row>
    <row r="111" customFormat="false" ht="15" hidden="false" customHeight="false" outlineLevel="0" collapsed="false">
      <c r="A111" s="18" t="n">
        <v>50</v>
      </c>
      <c r="B111" s="18" t="s">
        <v>950</v>
      </c>
      <c r="C111" s="18" t="s">
        <v>984</v>
      </c>
      <c r="D111" s="18" t="s">
        <v>931</v>
      </c>
      <c r="E111" s="18" t="s">
        <v>491</v>
      </c>
      <c r="F111" s="20" t="n">
        <v>-0.0854</v>
      </c>
      <c r="G111" s="20" t="n">
        <v>0.0123</v>
      </c>
      <c r="H111" s="28" t="n">
        <v>359.8</v>
      </c>
      <c r="I111" s="28" t="n">
        <v>58.7</v>
      </c>
      <c r="J111" s="30" t="n">
        <v>1622.7</v>
      </c>
      <c r="K111" s="28" t="n">
        <v>7.88</v>
      </c>
      <c r="L111" s="18" t="s">
        <v>985</v>
      </c>
    </row>
    <row r="112" customFormat="false" ht="15" hidden="false" customHeight="false" outlineLevel="0" collapsed="false">
      <c r="A112" s="18" t="n">
        <v>50</v>
      </c>
      <c r="B112" s="18" t="s">
        <v>950</v>
      </c>
      <c r="C112" s="18" t="s">
        <v>984</v>
      </c>
      <c r="D112" s="18" t="s">
        <v>931</v>
      </c>
      <c r="E112" s="18" t="s">
        <v>492</v>
      </c>
      <c r="F112" s="20" t="n">
        <v>-0.0807</v>
      </c>
      <c r="G112" s="20" t="n">
        <v>0.0052</v>
      </c>
      <c r="H112" s="28" t="n">
        <v>411.6</v>
      </c>
      <c r="I112" s="28" t="n">
        <v>73.6</v>
      </c>
      <c r="J112" s="30" t="n">
        <v>1483.3</v>
      </c>
      <c r="K112" s="28" t="n">
        <v>8.22</v>
      </c>
      <c r="L112" s="18" t="s">
        <v>985</v>
      </c>
    </row>
    <row r="113" customFormat="false" ht="15" hidden="false" customHeight="false" outlineLevel="0" collapsed="false">
      <c r="A113" s="18" t="n">
        <v>51</v>
      </c>
      <c r="B113" s="18" t="s">
        <v>950</v>
      </c>
      <c r="C113" s="18" t="s">
        <v>986</v>
      </c>
      <c r="D113" s="18" t="s">
        <v>931</v>
      </c>
      <c r="E113" s="18" t="s">
        <v>491</v>
      </c>
      <c r="F113" s="20" t="n">
        <v>-0.0782</v>
      </c>
      <c r="G113" s="20" t="n">
        <v>0.0083</v>
      </c>
      <c r="H113" s="28" t="n">
        <v>373.4</v>
      </c>
      <c r="I113" s="28" t="n">
        <v>66.8</v>
      </c>
      <c r="J113" s="30" t="n">
        <v>1607.7</v>
      </c>
      <c r="K113" s="28" t="n">
        <v>8.04</v>
      </c>
      <c r="L113" s="18" t="s">
        <v>987</v>
      </c>
    </row>
    <row r="114" customFormat="false" ht="15" hidden="false" customHeight="false" outlineLevel="0" collapsed="false">
      <c r="A114" s="18" t="n">
        <v>51</v>
      </c>
      <c r="B114" s="18" t="s">
        <v>950</v>
      </c>
      <c r="C114" s="18" t="s">
        <v>986</v>
      </c>
      <c r="D114" s="18" t="s">
        <v>931</v>
      </c>
      <c r="E114" s="18" t="s">
        <v>492</v>
      </c>
      <c r="F114" s="20" t="n">
        <v>-0.0867</v>
      </c>
      <c r="G114" s="20" t="n">
        <v>0.0079</v>
      </c>
      <c r="H114" s="28" t="n">
        <v>374.4</v>
      </c>
      <c r="I114" s="28" t="n">
        <v>65.9</v>
      </c>
      <c r="J114" s="30" t="n">
        <v>1488</v>
      </c>
      <c r="K114" s="28" t="n">
        <v>7.13</v>
      </c>
      <c r="L114" s="18" t="s">
        <v>987</v>
      </c>
    </row>
    <row r="115" customFormat="false" ht="15" hidden="false" customHeight="false" outlineLevel="0" collapsed="false">
      <c r="A115" s="18" t="n">
        <v>52</v>
      </c>
      <c r="B115" s="18" t="s">
        <v>950</v>
      </c>
      <c r="C115" s="18" t="s">
        <v>988</v>
      </c>
      <c r="D115" s="18" t="s">
        <v>931</v>
      </c>
      <c r="E115" s="18" t="s">
        <v>491</v>
      </c>
      <c r="F115" s="20" t="n">
        <v>-0.0901</v>
      </c>
      <c r="G115" s="20" t="n">
        <v>0.0106</v>
      </c>
      <c r="H115" s="28" t="n">
        <v>360.3</v>
      </c>
      <c r="I115" s="28" t="n">
        <v>60.4</v>
      </c>
      <c r="J115" s="30" t="n">
        <v>1614.3</v>
      </c>
      <c r="K115" s="28" t="n">
        <v>7.92</v>
      </c>
      <c r="L115" s="18" t="s">
        <v>989</v>
      </c>
    </row>
    <row r="116" customFormat="false" ht="15" hidden="false" customHeight="false" outlineLevel="0" collapsed="false">
      <c r="A116" s="18" t="n">
        <v>52</v>
      </c>
      <c r="B116" s="18" t="s">
        <v>950</v>
      </c>
      <c r="C116" s="18" t="s">
        <v>988</v>
      </c>
      <c r="D116" s="18" t="s">
        <v>931</v>
      </c>
      <c r="E116" s="18" t="s">
        <v>492</v>
      </c>
      <c r="F116" s="20" t="n">
        <v>-0.1076</v>
      </c>
      <c r="G116" s="20" t="n">
        <v>0.0132</v>
      </c>
      <c r="H116" s="28" t="n">
        <v>370.6</v>
      </c>
      <c r="I116" s="28" t="n">
        <v>57.4</v>
      </c>
      <c r="J116" s="30" t="n">
        <v>1492.3</v>
      </c>
      <c r="K116" s="28" t="n">
        <v>9.72</v>
      </c>
      <c r="L116" s="18" t="s">
        <v>989</v>
      </c>
    </row>
    <row r="117" customFormat="false" ht="15" hidden="false" customHeight="false" outlineLevel="0" collapsed="false">
      <c r="A117" s="18" t="n">
        <v>53</v>
      </c>
      <c r="B117" s="18" t="s">
        <v>950</v>
      </c>
      <c r="C117" s="18" t="s">
        <v>990</v>
      </c>
      <c r="D117" s="18" t="s">
        <v>931</v>
      </c>
      <c r="E117" s="18" t="s">
        <v>491</v>
      </c>
      <c r="F117" s="20" t="n">
        <v>-0.0718</v>
      </c>
      <c r="G117" s="20" t="n">
        <v>0.0103</v>
      </c>
      <c r="H117" s="28" t="n">
        <v>382.4</v>
      </c>
      <c r="I117" s="28" t="n">
        <v>57.2</v>
      </c>
      <c r="J117" s="30" t="n">
        <v>1627.3</v>
      </c>
      <c r="K117" s="28" t="n">
        <v>7.42</v>
      </c>
      <c r="L117" s="18" t="s">
        <v>991</v>
      </c>
    </row>
    <row r="118" customFormat="false" ht="15" hidden="false" customHeight="false" outlineLevel="0" collapsed="false">
      <c r="A118" s="18" t="n">
        <v>53</v>
      </c>
      <c r="B118" s="18" t="s">
        <v>950</v>
      </c>
      <c r="C118" s="18" t="s">
        <v>990</v>
      </c>
      <c r="D118" s="18" t="s">
        <v>931</v>
      </c>
      <c r="E118" s="18" t="s">
        <v>492</v>
      </c>
      <c r="F118" s="20" t="n">
        <v>-0.0519</v>
      </c>
      <c r="G118" s="20" t="n">
        <v>0.0069</v>
      </c>
      <c r="H118" s="28" t="n">
        <v>364.7</v>
      </c>
      <c r="I118" s="28" t="n">
        <v>54.6</v>
      </c>
      <c r="J118" s="30" t="n">
        <v>1506.3</v>
      </c>
      <c r="K118" s="28" t="n">
        <v>7.14</v>
      </c>
      <c r="L118" s="18" t="s">
        <v>991</v>
      </c>
    </row>
    <row r="119" customFormat="false" ht="15" hidden="false" customHeight="false" outlineLevel="0" collapsed="false">
      <c r="A119" s="18" t="n">
        <v>54</v>
      </c>
      <c r="B119" s="18" t="s">
        <v>950</v>
      </c>
      <c r="C119" s="18" t="s">
        <v>992</v>
      </c>
      <c r="D119" s="18" t="s">
        <v>931</v>
      </c>
      <c r="E119" s="18" t="s">
        <v>491</v>
      </c>
      <c r="F119" s="20" t="n">
        <v>-0.0637</v>
      </c>
      <c r="G119" s="20" t="n">
        <v>0.0076</v>
      </c>
      <c r="H119" s="28" t="n">
        <v>421.8</v>
      </c>
      <c r="I119" s="28" t="n">
        <v>80.1</v>
      </c>
      <c r="J119" s="30" t="n">
        <v>1608</v>
      </c>
      <c r="K119" s="28" t="n">
        <v>6.6</v>
      </c>
      <c r="L119" s="18" t="s">
        <v>993</v>
      </c>
    </row>
    <row r="120" customFormat="false" ht="15" hidden="false" customHeight="false" outlineLevel="0" collapsed="false">
      <c r="A120" s="18" t="n">
        <v>54</v>
      </c>
      <c r="B120" s="18" t="s">
        <v>950</v>
      </c>
      <c r="C120" s="18" t="s">
        <v>992</v>
      </c>
      <c r="D120" s="18" t="s">
        <v>931</v>
      </c>
      <c r="E120" s="18" t="s">
        <v>492</v>
      </c>
      <c r="F120" s="20" t="n">
        <v>-0.072</v>
      </c>
      <c r="G120" s="20" t="n">
        <v>0.0101</v>
      </c>
      <c r="H120" s="28" t="n">
        <v>372.1</v>
      </c>
      <c r="I120" s="28" t="n">
        <v>75.7</v>
      </c>
      <c r="J120" s="30" t="n">
        <v>1488.3</v>
      </c>
      <c r="K120" s="28" t="n">
        <v>7.57</v>
      </c>
      <c r="L120" s="18" t="s">
        <v>993</v>
      </c>
    </row>
    <row r="121" customFormat="false" ht="15" hidden="false" customHeight="false" outlineLevel="0" collapsed="false">
      <c r="A121" s="18" t="n">
        <v>55</v>
      </c>
      <c r="B121" s="18" t="s">
        <v>950</v>
      </c>
      <c r="C121" s="18" t="s">
        <v>994</v>
      </c>
      <c r="D121" s="18" t="s">
        <v>931</v>
      </c>
      <c r="E121" s="18" t="s">
        <v>491</v>
      </c>
      <c r="F121" s="20" t="n">
        <v>-0.1233</v>
      </c>
      <c r="G121" s="20" t="n">
        <v>0.0573</v>
      </c>
      <c r="H121" s="28" t="n">
        <v>485.2</v>
      </c>
      <c r="I121" s="28" t="n">
        <v>87.5</v>
      </c>
      <c r="J121" s="30" t="n">
        <v>1620.3</v>
      </c>
      <c r="K121" s="28" t="n">
        <v>24.03</v>
      </c>
      <c r="L121" s="18" t="s">
        <v>995</v>
      </c>
    </row>
    <row r="122" customFormat="false" ht="15" hidden="false" customHeight="false" outlineLevel="0" collapsed="false">
      <c r="A122" s="18" t="n">
        <v>55</v>
      </c>
      <c r="B122" s="18" t="s">
        <v>950</v>
      </c>
      <c r="C122" s="18" t="s">
        <v>994</v>
      </c>
      <c r="D122" s="18" t="s">
        <v>931</v>
      </c>
      <c r="E122" s="18" t="s">
        <v>492</v>
      </c>
      <c r="F122" s="20" t="n">
        <v>-0.0593</v>
      </c>
      <c r="G122" s="20" t="n">
        <v>0.0086</v>
      </c>
      <c r="H122" s="28" t="n">
        <v>372.7</v>
      </c>
      <c r="I122" s="28" t="n">
        <v>72.3</v>
      </c>
      <c r="J122" s="30" t="n">
        <v>1497</v>
      </c>
      <c r="K122" s="28" t="n">
        <v>8.34</v>
      </c>
      <c r="L122" s="18" t="s">
        <v>995</v>
      </c>
    </row>
    <row r="123" customFormat="false" ht="15" hidden="false" customHeight="false" outlineLevel="0" collapsed="false">
      <c r="A123" s="18" t="n">
        <v>56</v>
      </c>
      <c r="B123" s="18" t="s">
        <v>950</v>
      </c>
      <c r="C123" s="18" t="s">
        <v>996</v>
      </c>
      <c r="D123" s="18" t="s">
        <v>931</v>
      </c>
      <c r="E123" s="18" t="s">
        <v>491</v>
      </c>
      <c r="F123" s="20" t="n">
        <v>-0.0835</v>
      </c>
      <c r="G123" s="20" t="n">
        <v>0.0085</v>
      </c>
      <c r="H123" s="28" t="n">
        <v>418.4</v>
      </c>
      <c r="I123" s="28" t="n">
        <v>68.6</v>
      </c>
      <c r="J123" s="30" t="n">
        <v>1628.3</v>
      </c>
      <c r="K123" s="28" t="n">
        <v>6.77</v>
      </c>
      <c r="L123" s="18" t="s">
        <v>997</v>
      </c>
    </row>
    <row r="124" customFormat="false" ht="15" hidden="false" customHeight="false" outlineLevel="0" collapsed="false">
      <c r="A124" s="18" t="n">
        <v>56</v>
      </c>
      <c r="B124" s="18" t="s">
        <v>950</v>
      </c>
      <c r="C124" s="18" t="s">
        <v>996</v>
      </c>
      <c r="D124" s="18" t="s">
        <v>931</v>
      </c>
      <c r="E124" s="18" t="s">
        <v>492</v>
      </c>
      <c r="F124" s="20" t="n">
        <v>-0.0809</v>
      </c>
      <c r="G124" s="20" t="n">
        <v>0.0075</v>
      </c>
      <c r="H124" s="28" t="n">
        <v>400.8</v>
      </c>
      <c r="I124" s="28" t="n">
        <v>59</v>
      </c>
      <c r="J124" s="30" t="n">
        <v>1516.3</v>
      </c>
      <c r="K124" s="28" t="n">
        <v>8.15</v>
      </c>
      <c r="L124" s="18" t="s">
        <v>997</v>
      </c>
    </row>
    <row r="125" customFormat="false" ht="15" hidden="false" customHeight="false" outlineLevel="0" collapsed="false">
      <c r="A125" s="18" t="n">
        <v>57</v>
      </c>
      <c r="B125" s="18" t="s">
        <v>950</v>
      </c>
      <c r="C125" s="18" t="s">
        <v>998</v>
      </c>
      <c r="D125" s="18" t="s">
        <v>931</v>
      </c>
      <c r="E125" s="18" t="s">
        <v>491</v>
      </c>
      <c r="F125" s="20" t="n">
        <v>-0.0547</v>
      </c>
      <c r="G125" s="20" t="n">
        <v>0.0157</v>
      </c>
      <c r="H125" s="28" t="n">
        <v>316</v>
      </c>
      <c r="I125" s="28" t="n">
        <v>56.3</v>
      </c>
      <c r="J125" s="30" t="n">
        <v>1611.3</v>
      </c>
      <c r="K125" s="28" t="n">
        <v>10.44</v>
      </c>
      <c r="L125" s="18" t="s">
        <v>999</v>
      </c>
    </row>
    <row r="126" customFormat="false" ht="15" hidden="false" customHeight="false" outlineLevel="0" collapsed="false">
      <c r="A126" s="18" t="n">
        <v>57</v>
      </c>
      <c r="B126" s="18" t="s">
        <v>950</v>
      </c>
      <c r="C126" s="18" t="s">
        <v>998</v>
      </c>
      <c r="D126" s="18" t="s">
        <v>931</v>
      </c>
      <c r="E126" s="18" t="s">
        <v>492</v>
      </c>
      <c r="F126" s="20" t="n">
        <v>-0.0124</v>
      </c>
      <c r="G126" s="20" t="n">
        <v>0.0114</v>
      </c>
      <c r="H126" s="28" t="n">
        <v>413.5</v>
      </c>
      <c r="I126" s="28" t="n">
        <v>53.1</v>
      </c>
      <c r="J126" s="30" t="n">
        <v>1495.7</v>
      </c>
      <c r="K126" s="28" t="n">
        <v>9.35</v>
      </c>
      <c r="L126" s="18" t="s">
        <v>999</v>
      </c>
    </row>
    <row r="127" customFormat="false" ht="15" hidden="false" customHeight="false" outlineLevel="0" collapsed="false">
      <c r="A127" s="18" t="n">
        <v>59</v>
      </c>
      <c r="B127" s="18" t="s">
        <v>950</v>
      </c>
      <c r="C127" s="18" t="s">
        <v>1000</v>
      </c>
      <c r="D127" s="18" t="s">
        <v>931</v>
      </c>
      <c r="E127" s="18" t="s">
        <v>494</v>
      </c>
      <c r="F127" s="20" t="n">
        <v>0.0587</v>
      </c>
      <c r="G127" s="20" t="n">
        <v>0.0143</v>
      </c>
      <c r="H127" s="28" t="n">
        <v>370.6</v>
      </c>
      <c r="I127" s="28" t="n">
        <v>67.7</v>
      </c>
      <c r="J127" s="30" t="n">
        <v>1566.3</v>
      </c>
      <c r="K127" s="28" t="n">
        <v>8.6</v>
      </c>
      <c r="L127" s="18" t="s">
        <v>1001</v>
      </c>
    </row>
    <row r="128" customFormat="false" ht="15" hidden="false" customHeight="false" outlineLevel="0" collapsed="false">
      <c r="A128" s="18" t="n">
        <v>59</v>
      </c>
      <c r="B128" s="18" t="s">
        <v>950</v>
      </c>
      <c r="C128" s="18" t="s">
        <v>1000</v>
      </c>
      <c r="D128" s="18" t="s">
        <v>931</v>
      </c>
      <c r="E128" s="18" t="s">
        <v>495</v>
      </c>
      <c r="F128" s="20" t="n">
        <v>0.0555</v>
      </c>
      <c r="G128" s="20" t="n">
        <v>0.0072</v>
      </c>
      <c r="H128" s="28" t="n">
        <v>363.6</v>
      </c>
      <c r="I128" s="28" t="n">
        <v>65.3</v>
      </c>
      <c r="J128" s="30" t="n">
        <v>1461.7</v>
      </c>
      <c r="K128" s="28" t="n">
        <v>8.16</v>
      </c>
      <c r="L128" s="18" t="s">
        <v>1001</v>
      </c>
    </row>
    <row r="129" customFormat="false" ht="15" hidden="false" customHeight="false" outlineLevel="0" collapsed="false">
      <c r="A129" s="18" t="n">
        <v>60</v>
      </c>
      <c r="B129" s="18" t="s">
        <v>950</v>
      </c>
      <c r="C129" s="18" t="s">
        <v>1002</v>
      </c>
      <c r="D129" s="18" t="s">
        <v>931</v>
      </c>
      <c r="E129" s="18" t="s">
        <v>494</v>
      </c>
      <c r="F129" s="20" t="n">
        <v>0.0919</v>
      </c>
      <c r="G129" s="20" t="n">
        <v>0.0082</v>
      </c>
      <c r="H129" s="28" t="n">
        <v>390.1</v>
      </c>
      <c r="I129" s="28" t="n">
        <v>87.3</v>
      </c>
      <c r="J129" s="30" t="n">
        <v>1554</v>
      </c>
      <c r="K129" s="28" t="n">
        <v>10.04</v>
      </c>
      <c r="L129" s="18" t="s">
        <v>1003</v>
      </c>
    </row>
    <row r="130" customFormat="false" ht="15" hidden="false" customHeight="false" outlineLevel="0" collapsed="false">
      <c r="A130" s="18" t="n">
        <v>60</v>
      </c>
      <c r="B130" s="18" t="s">
        <v>950</v>
      </c>
      <c r="C130" s="18" t="s">
        <v>1002</v>
      </c>
      <c r="D130" s="18" t="s">
        <v>931</v>
      </c>
      <c r="E130" s="18" t="s">
        <v>495</v>
      </c>
      <c r="F130" s="20" t="n">
        <v>0.0788</v>
      </c>
      <c r="G130" s="20" t="n">
        <v>0.0128</v>
      </c>
      <c r="H130" s="28" t="n">
        <v>359.1</v>
      </c>
      <c r="I130" s="28" t="n">
        <v>77.8</v>
      </c>
      <c r="J130" s="30" t="n">
        <v>1453</v>
      </c>
      <c r="K130" s="28" t="n">
        <v>9.96</v>
      </c>
      <c r="L130" s="18" t="s">
        <v>1003</v>
      </c>
    </row>
    <row r="131" customFormat="false" ht="15" hidden="false" customHeight="false" outlineLevel="0" collapsed="false">
      <c r="A131" s="18" t="n">
        <v>61</v>
      </c>
      <c r="B131" s="18" t="s">
        <v>950</v>
      </c>
      <c r="C131" s="18" t="s">
        <v>1004</v>
      </c>
      <c r="D131" s="18" t="s">
        <v>931</v>
      </c>
      <c r="E131" s="18" t="s">
        <v>494</v>
      </c>
      <c r="F131" s="20" t="n">
        <v>0.0093</v>
      </c>
      <c r="G131" s="20" t="n">
        <v>0.0133</v>
      </c>
      <c r="H131" s="28" t="n">
        <v>432.3</v>
      </c>
      <c r="I131" s="28" t="n">
        <v>93.5</v>
      </c>
      <c r="J131" s="30" t="n">
        <v>1526.3</v>
      </c>
      <c r="K131" s="28" t="n">
        <v>10.25</v>
      </c>
      <c r="L131" s="18" t="s">
        <v>1005</v>
      </c>
    </row>
    <row r="132" customFormat="false" ht="15" hidden="false" customHeight="false" outlineLevel="0" collapsed="false">
      <c r="A132" s="18" t="n">
        <v>61</v>
      </c>
      <c r="B132" s="18" t="s">
        <v>950</v>
      </c>
      <c r="C132" s="18" t="s">
        <v>1004</v>
      </c>
      <c r="D132" s="18" t="s">
        <v>931</v>
      </c>
      <c r="E132" s="18" t="s">
        <v>495</v>
      </c>
      <c r="F132" s="20" t="n">
        <v>0.0231</v>
      </c>
      <c r="G132" s="20" t="n">
        <v>0.0111</v>
      </c>
      <c r="H132" s="28" t="n">
        <v>417.8</v>
      </c>
      <c r="I132" s="28" t="n">
        <v>102</v>
      </c>
      <c r="J132" s="30" t="n">
        <v>1409.7</v>
      </c>
      <c r="K132" s="28" t="n">
        <v>11.35</v>
      </c>
      <c r="L132" s="18" t="s">
        <v>1005</v>
      </c>
    </row>
    <row r="133" customFormat="false" ht="15" hidden="false" customHeight="false" outlineLevel="0" collapsed="false">
      <c r="A133" s="18" t="n">
        <v>63</v>
      </c>
      <c r="B133" s="18" t="s">
        <v>950</v>
      </c>
      <c r="C133" s="18" t="s">
        <v>1006</v>
      </c>
      <c r="D133" s="18" t="s">
        <v>931</v>
      </c>
      <c r="E133" s="18" t="s">
        <v>494</v>
      </c>
      <c r="F133" s="20" t="n">
        <v>0.1173</v>
      </c>
      <c r="G133" s="20" t="n">
        <v>0.1461</v>
      </c>
      <c r="H133" s="28" t="n">
        <v>489.4</v>
      </c>
      <c r="I133" s="28" t="n">
        <v>79.3</v>
      </c>
      <c r="J133" s="30" t="n">
        <v>1548</v>
      </c>
      <c r="K133" s="28" t="n">
        <v>15.87</v>
      </c>
      <c r="L133" s="18" t="s">
        <v>1007</v>
      </c>
    </row>
    <row r="134" customFormat="false" ht="15" hidden="false" customHeight="false" outlineLevel="0" collapsed="false">
      <c r="A134" s="18" t="n">
        <v>63</v>
      </c>
      <c r="B134" s="18" t="s">
        <v>950</v>
      </c>
      <c r="C134" s="18" t="s">
        <v>1006</v>
      </c>
      <c r="D134" s="18" t="s">
        <v>931</v>
      </c>
      <c r="E134" s="18" t="s">
        <v>495</v>
      </c>
      <c r="F134" s="20" t="n">
        <v>0.0174</v>
      </c>
      <c r="G134" s="20" t="n">
        <v>0.0056</v>
      </c>
      <c r="H134" s="28" t="n">
        <v>415.7</v>
      </c>
      <c r="I134" s="28" t="n">
        <v>78.2</v>
      </c>
      <c r="J134" s="30" t="n">
        <v>1435.3</v>
      </c>
      <c r="K134" s="28" t="n">
        <v>7.71</v>
      </c>
      <c r="L134" s="18" t="s">
        <v>1007</v>
      </c>
    </row>
    <row r="135" customFormat="false" ht="15" hidden="false" customHeight="false" outlineLevel="0" collapsed="false">
      <c r="A135" s="18" t="n">
        <v>64</v>
      </c>
      <c r="B135" s="18" t="s">
        <v>950</v>
      </c>
      <c r="C135" s="18" t="s">
        <v>1008</v>
      </c>
      <c r="D135" s="18" t="s">
        <v>931</v>
      </c>
      <c r="E135" s="18" t="s">
        <v>491</v>
      </c>
      <c r="F135" s="20" t="n">
        <v>0.0136</v>
      </c>
      <c r="G135" s="20" t="n">
        <v>0.0172</v>
      </c>
      <c r="H135" s="28" t="n">
        <v>523.6</v>
      </c>
      <c r="I135" s="28" t="n">
        <v>79.2</v>
      </c>
      <c r="J135" s="30" t="n">
        <v>1575.7</v>
      </c>
      <c r="K135" s="28" t="n">
        <v>9.52</v>
      </c>
      <c r="L135" s="18" t="s">
        <v>1009</v>
      </c>
    </row>
    <row r="136" customFormat="false" ht="15" hidden="false" customHeight="false" outlineLevel="0" collapsed="false">
      <c r="A136" s="18" t="n">
        <v>64</v>
      </c>
      <c r="B136" s="18" t="s">
        <v>950</v>
      </c>
      <c r="C136" s="18" t="s">
        <v>1008</v>
      </c>
      <c r="D136" s="18" t="s">
        <v>931</v>
      </c>
      <c r="E136" s="18" t="s">
        <v>492</v>
      </c>
      <c r="F136" s="20" t="n">
        <v>-0.0336</v>
      </c>
      <c r="G136" s="20" t="n">
        <v>0.0127</v>
      </c>
      <c r="H136" s="28" t="n">
        <v>378.9</v>
      </c>
      <c r="I136" s="28" t="n">
        <v>53.5</v>
      </c>
      <c r="J136" s="30" t="n">
        <v>1472.7</v>
      </c>
      <c r="K136" s="28" t="n">
        <v>9.96</v>
      </c>
      <c r="L136" s="18" t="s">
        <v>1009</v>
      </c>
    </row>
    <row r="137" customFormat="false" ht="15" hidden="false" customHeight="false" outlineLevel="0" collapsed="false">
      <c r="A137" s="18" t="n">
        <v>65</v>
      </c>
      <c r="B137" s="18" t="s">
        <v>950</v>
      </c>
      <c r="C137" s="18" t="s">
        <v>1008</v>
      </c>
      <c r="D137" s="18" t="s">
        <v>931</v>
      </c>
      <c r="E137" s="18" t="s">
        <v>494</v>
      </c>
      <c r="F137" s="20" t="n">
        <v>0.0233</v>
      </c>
      <c r="G137" s="20" t="n">
        <v>0.0068</v>
      </c>
      <c r="H137" s="28" t="n">
        <v>391.6</v>
      </c>
      <c r="I137" s="28" t="n">
        <v>49.8</v>
      </c>
      <c r="J137" s="30" t="n">
        <v>1573</v>
      </c>
      <c r="K137" s="28" t="n">
        <v>6.62</v>
      </c>
      <c r="L137" s="18" t="s">
        <v>1010</v>
      </c>
    </row>
    <row r="138" customFormat="false" ht="15" hidden="false" customHeight="false" outlineLevel="0" collapsed="false">
      <c r="A138" s="18" t="n">
        <v>65</v>
      </c>
      <c r="B138" s="18" t="s">
        <v>950</v>
      </c>
      <c r="C138" s="18" t="s">
        <v>1008</v>
      </c>
      <c r="D138" s="18" t="s">
        <v>931</v>
      </c>
      <c r="E138" s="18" t="s">
        <v>495</v>
      </c>
      <c r="F138" s="20" t="n">
        <v>0.0215</v>
      </c>
      <c r="G138" s="20" t="n">
        <v>0.01</v>
      </c>
      <c r="H138" s="28" t="n">
        <v>384.4</v>
      </c>
      <c r="I138" s="28" t="n">
        <v>49.9</v>
      </c>
      <c r="J138" s="30" t="n">
        <v>1464</v>
      </c>
      <c r="K138" s="28" t="n">
        <v>7.56</v>
      </c>
      <c r="L138" s="18" t="s">
        <v>1010</v>
      </c>
    </row>
  </sheetData>
  <autoFilter ref="A20:L1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2026-09-06T06:49:34Z</dcterms:created>
  <dc:creator>openpyxl</dc:creator>
  <dc:description/>
  <dc:language>en-US</dc:language>
  <cp:lastModifiedBy/>
  <dcterms:modified xsi:type="dcterms:W3CDTF">2026-09-06T06:49:35Z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